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19035" yWindow="90" windowWidth="18285" windowHeight="10350" tabRatio="491" activeTab="1"/>
  </bookViews>
  <sheets>
    <sheet name="Cover" sheetId="8" r:id="rId1"/>
    <sheet name="Report" sheetId="12" r:id="rId2"/>
    <sheet name="Footnotes" sheetId="2" r:id="rId3"/>
    <sheet name="Disclaimers&amp;Definitions " sheetId="9" r:id="rId4"/>
  </sheets>
  <definedNames>
    <definedName name="_xlnm._FilterDatabase" localSheetId="1" hidden="1">Report!$A$8:$J$8</definedName>
    <definedName name="_xlnm.Print_Area" localSheetId="0">Cover!$A$1:$X$17</definedName>
    <definedName name="_xlnm.Print_Area" localSheetId="3">'Disclaimers&amp;Definitions '!$A$1:$L$70</definedName>
    <definedName name="_xlnm.Print_Area" localSheetId="2">Footnotes!$B$1:$N$20</definedName>
    <definedName name="_xlnm.Print_Area" localSheetId="1">Report!$A$1:$W$58</definedName>
    <definedName name="_xlnm.Print_Titles" localSheetId="2">Footnotes!$1:$6</definedName>
    <definedName name="_xlnm.Print_Titles" localSheetId="1">Report!$A:$A,Report!$1:$8</definedName>
    <definedName name="Z_2B5E9AF3_7E15_4FFC_BC57_F18A8661CB86_.wvu.PrintArea" localSheetId="3" hidden="1">'Disclaimers&amp;Definitions '!$A$1:$L$6</definedName>
    <definedName name="Z_2B5E9AF3_7E15_4FFC_BC57_F18A8661CB86_.wvu.PrintArea" localSheetId="2" hidden="1">Footnotes!$C$1:$N$19</definedName>
    <definedName name="Z_2B5E9AF3_7E15_4FFC_BC57_F18A8661CB86_.wvu.PrintArea" localSheetId="1" hidden="1">Report!$A$1:$M$46</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3" hidden="1">'Disclaimers&amp;Definitions '!$A$1:$L$6</definedName>
    <definedName name="Z_6B3EFEE6_6D4B_487B_9131_15FDA5ABAE22_.wvu.PrintArea" localSheetId="2" hidden="1">Footnotes!$C$1:$N$19</definedName>
    <definedName name="Z_6B3EFEE6_6D4B_487B_9131_15FDA5ABAE22_.wvu.PrintArea" localSheetId="1" hidden="1">Report!$A$1:$M$46</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workbook>
</file>

<file path=xl/calcChain.xml><?xml version="1.0" encoding="utf-8"?>
<calcChain xmlns="http://schemas.openxmlformats.org/spreadsheetml/2006/main">
  <c r="J35" i="12" l="1"/>
  <c r="B3" i="2" l="1"/>
  <c r="B2" i="2"/>
  <c r="M56" i="12" l="1"/>
  <c r="M55" i="12"/>
  <c r="M54" i="12"/>
  <c r="J54" i="12"/>
  <c r="K54" i="12" s="1"/>
  <c r="J55" i="12" s="1"/>
  <c r="K55" i="12" s="1"/>
  <c r="J56" i="12" s="1"/>
  <c r="K56" i="12" s="1"/>
  <c r="J53" i="12"/>
  <c r="J16" i="12"/>
</calcChain>
</file>

<file path=xl/sharedStrings.xml><?xml version="1.0" encoding="utf-8"?>
<sst xmlns="http://schemas.openxmlformats.org/spreadsheetml/2006/main" count="194" uniqueCount="122">
  <si>
    <t>1971/2000</t>
  </si>
  <si>
    <t>(13)</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</si>
  <si>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</si>
  <si>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</si>
  <si>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</si>
  <si>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(14)</t>
  </si>
  <si>
    <t>(12)</t>
  </si>
  <si>
    <t>Discoverer Seven Seas</t>
  </si>
  <si>
    <t>Rig Type/Name</t>
  </si>
  <si>
    <t>Water</t>
  </si>
  <si>
    <t>Depth</t>
  </si>
  <si>
    <t>Service</t>
  </si>
  <si>
    <t>1976/1997</t>
  </si>
  <si>
    <t>Location</t>
  </si>
  <si>
    <t>USGOM</t>
  </si>
  <si>
    <t>Brazil</t>
  </si>
  <si>
    <t>Petrobras</t>
  </si>
  <si>
    <t>Nigeria</t>
  </si>
  <si>
    <t>India</t>
  </si>
  <si>
    <t>ONGC</t>
  </si>
  <si>
    <t>BP</t>
  </si>
  <si>
    <t xml:space="preserve"> </t>
  </si>
  <si>
    <t>ship</t>
  </si>
  <si>
    <t>semi</t>
  </si>
  <si>
    <t>Floater</t>
  </si>
  <si>
    <t>Type</t>
  </si>
  <si>
    <t>Chevron</t>
  </si>
  <si>
    <t>«</t>
  </si>
  <si>
    <t>Entered</t>
  </si>
  <si>
    <t>Estimated</t>
  </si>
  <si>
    <t>(Feet)</t>
  </si>
  <si>
    <t>(Dollars)</t>
  </si>
  <si>
    <t>TBA</t>
  </si>
  <si>
    <t>Footnotes</t>
  </si>
  <si>
    <t>DISCLAIMERS &amp; DEFINITIONS</t>
  </si>
  <si>
    <t>Midwater Floaters</t>
  </si>
  <si>
    <t>Customer</t>
  </si>
  <si>
    <t>High Specification Jackups</t>
  </si>
  <si>
    <t>GSF Rig 135</t>
  </si>
  <si>
    <t>Dayrate on</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</si>
  <si>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</si>
  <si>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</si>
  <si>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</si>
  <si>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</si>
  <si>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</si>
  <si>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</si>
  <si>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</si>
  <si>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</si>
  <si>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</si>
  <si>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</si>
  <si>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</si>
  <si>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</si>
  <si>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</si>
  <si>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</si>
  <si>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Estimated Average Contract Dayrate is defined as the average contracted full operating dayrate to be earned per revenue earning day. See note (3) for definition of full operating dayrate.</t>
  </si>
  <si>
    <t>Reflects the current contracted dayrate which could reflect prior cost escalations and could change in the future due to further cost escalations.</t>
  </si>
  <si>
    <t>While the customer has the option to add any out of service days to the end of the contract, the Estimated Expiration Date does not reflect any extension due to this option until actually exercised by the customer.</t>
  </si>
  <si>
    <t>ENI</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</si>
  <si>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</si>
  <si>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</si>
  <si>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</si>
  <si>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</si>
  <si>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</si>
  <si>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</si>
  <si>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</si>
  <si>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</si>
  <si>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</si>
  <si>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</si>
  <si>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</si>
  <si>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High Specification Floater: Ultra-Deepwater</t>
  </si>
  <si>
    <t>Discoverer Inspiration</t>
  </si>
  <si>
    <t>Discoverer Enterprise</t>
  </si>
  <si>
    <t>Deepwater Discovery</t>
  </si>
  <si>
    <t>Deepwater Pathfinder</t>
  </si>
  <si>
    <t>Cajun Express</t>
  </si>
  <si>
    <t>Sedco Express</t>
  </si>
  <si>
    <t>Deepwater Navigator</t>
  </si>
  <si>
    <t>Actinia</t>
  </si>
  <si>
    <t>GSF Galaxy III</t>
  </si>
  <si>
    <t>GSF Arctic III</t>
  </si>
  <si>
    <t>Revisions Noted in Bold</t>
  </si>
  <si>
    <t>Q4</t>
  </si>
  <si>
    <t>Q1</t>
  </si>
  <si>
    <t>Q2</t>
  </si>
  <si>
    <t>Q3</t>
  </si>
  <si>
    <t>Prev</t>
  </si>
  <si>
    <t>The contract is expected to start in the quarter indicated.  Factors that could influence the contract start date include shipyard delivery, customer acceptance, and mobilization to operating location, among others.</t>
  </si>
  <si>
    <t>High Specification Floater: Deepwater</t>
  </si>
  <si>
    <t>Fixed-Price Options - See Footnote 10</t>
  </si>
  <si>
    <t>Cairn Energy</t>
  </si>
  <si>
    <r>
      <t xml:space="preserve">Estimated Out of Service Days </t>
    </r>
    <r>
      <rPr>
        <b/>
        <vertAlign val="superscript"/>
        <sz val="10"/>
        <color theme="0"/>
        <rFont val="Arial"/>
        <family val="2"/>
      </rPr>
      <t>(4)</t>
    </r>
  </si>
  <si>
    <t>Idle</t>
  </si>
  <si>
    <t>CNR</t>
  </si>
  <si>
    <t>Ivory Coast</t>
  </si>
  <si>
    <t>Current</t>
  </si>
  <si>
    <r>
      <t xml:space="preserve">Contract </t>
    </r>
    <r>
      <rPr>
        <b/>
        <vertAlign val="superscript"/>
        <sz val="10"/>
        <color theme="0"/>
        <rFont val="Arial"/>
        <family val="2"/>
      </rPr>
      <t>(3)</t>
    </r>
  </si>
  <si>
    <t>Previous</t>
  </si>
  <si>
    <t>On February 26, 2014, a subsidiary of Transocean Ltd. awarded contracts to Sembcorp Marine's subsidiary, Jurong Shipyard, in Singapore for construction of two newbuild dynamically positioned ultra-deepwater drillships. The two drillships are expected to be delivered from the shipyard in the second quarter of 2017 and the first quarter of 2018, respectively.</t>
  </si>
  <si>
    <t xml:space="preserve">Estimated Contract Start and Estimated Expiration Dates are calculated as follows: (1) for events estimated to occur between the 1st and 15th of a month, the previous month is reported (i.e. a contract which is estimated to commence on May 4, 2014 will be reported as commencing in April 2014) and (2) for events estimated to occur between the 16th and the end of a month, the actual month is reported (i.e. a contract which is estimated to commence on May 24, 2014 will be reported as commencing in May 2014).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</si>
  <si>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Senegal</t>
  </si>
  <si>
    <t>NPDC</t>
  </si>
  <si>
    <t>The rig is owned by Transocean Partners LLC in which the company owns less than a 100% interest. Please refer to Transocean Partners LLC (NYSE: RIGP) Fleet Status Report which can be found at www.transoceanpartners.com.</t>
  </si>
  <si>
    <t>(6), (12)</t>
  </si>
  <si>
    <t>(6), (8), (12)</t>
  </si>
  <si>
    <t xml:space="preserve"> (7), (8), (13)</t>
  </si>
  <si>
    <t>GSF Explorer</t>
  </si>
  <si>
    <t>1972/1998</t>
  </si>
  <si>
    <t>N/A</t>
  </si>
  <si>
    <t>High Specification Floater: Harsh Environment</t>
  </si>
  <si>
    <t>Transocean Leader</t>
  </si>
  <si>
    <t>(6), (7)</t>
  </si>
  <si>
    <t>1987/1997</t>
  </si>
  <si>
    <t>NNS</t>
  </si>
  <si>
    <t>Statoil</t>
  </si>
  <si>
    <t>The dayrate for the last year of the contract will be set three months prior to the third anniversary of the contract commencement date, subject to a floor dayrate of $305,000 and a ceiling dayrate of $365,000, pursuant to the terms of the contract.</t>
  </si>
  <si>
    <t>UKNS</t>
  </si>
  <si>
    <t>Discoverer Clear Leader</t>
  </si>
  <si>
    <r>
      <t xml:space="preserve"> (6), </t>
    </r>
    <r>
      <rPr>
        <b/>
        <sz val="10"/>
        <rFont val="Arial"/>
        <family val="2"/>
      </rPr>
      <t>(8), (12)</t>
    </r>
  </si>
  <si>
    <t>Denmark</t>
  </si>
  <si>
    <t>Maersk</t>
  </si>
  <si>
    <t>Updated: November 18, 2014</t>
  </si>
  <si>
    <t>Enquest</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</si>
</sst>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8">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7">
    <xf numFmtId="0" fontId="0" fillId="0" borderId="0"/>
    <xf numFmtId="0" fontId="6" fillId="2" borderId="0" applyNumberFormat="0" applyFont="0" applyAlignment="0">
      <alignment vertical="top"/>
    </xf>
    <xf numFmtId="0" fontId="7" fillId="2" borderId="0" applyNumberFormat="0" applyFont="0" applyAlignment="0">
      <alignment vertical="top" wrapText="1"/>
    </xf>
    <xf numFmtId="0" fontId="5" fillId="2" borderId="0" applyNumberFormat="0" applyFont="0" applyAlignment="0">
      <alignment vertical="top" wrapText="1"/>
    </xf>
    <xf numFmtId="43" fontId="5"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8"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18"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43" fontId="35" fillId="0" borderId="0" applyFont="0" applyFill="0" applyBorder="0" applyAlignment="0" applyProtection="0"/>
    <xf numFmtId="0" fontId="4" fillId="0" borderId="0"/>
    <xf numFmtId="0" fontId="35" fillId="0" borderId="0"/>
    <xf numFmtId="9" fontId="35" fillId="0" borderId="0" applyFont="0" applyFill="0" applyBorder="0" applyAlignment="0" applyProtection="0"/>
    <xf numFmtId="41" fontId="5" fillId="7" borderId="0" applyNumberFormat="0" applyFont="0" applyBorder="0" applyAlignment="0" applyProtection="0"/>
    <xf numFmtId="0" fontId="36" fillId="0" borderId="0" applyNumberFormat="0" applyFill="0" applyBorder="0" applyAlignment="0" applyProtection="0"/>
    <xf numFmtId="0" fontId="37" fillId="0" borderId="2">
      <alignment horizontal="left" vertical="center"/>
    </xf>
    <xf numFmtId="168" fontId="5" fillId="0" borderId="0"/>
    <xf numFmtId="0" fontId="37" fillId="0" borderId="16" applyNumberFormat="0" applyAlignment="0" applyProtection="0">
      <alignment horizontal="left" vertical="center"/>
    </xf>
    <xf numFmtId="43" fontId="4" fillId="0" borderId="0" applyFont="0" applyFill="0" applyBorder="0" applyAlignment="0" applyProtection="0"/>
    <xf numFmtId="44" fontId="35" fillId="0" borderId="0" applyFont="0" applyFill="0" applyBorder="0" applyAlignment="0" applyProtection="0"/>
    <xf numFmtId="43" fontId="4" fillId="0" borderId="0" applyFont="0" applyFill="0" applyBorder="0" applyAlignment="0" applyProtection="0"/>
    <xf numFmtId="37" fontId="38" fillId="0" borderId="0"/>
    <xf numFmtId="0" fontId="4" fillId="0" borderId="0"/>
    <xf numFmtId="49" fontId="39" fillId="0" borderId="0" applyFill="0" applyBorder="0" applyProtection="0">
      <alignment horizontal="left"/>
    </xf>
    <xf numFmtId="0" fontId="4" fillId="0" borderId="0"/>
    <xf numFmtId="0" fontId="4" fillId="0" borderId="0"/>
    <xf numFmtId="0" fontId="5" fillId="0" borderId="0"/>
    <xf numFmtId="0" fontId="5" fillId="0" borderId="0"/>
    <xf numFmtId="0" fontId="5" fillId="0" borderId="0"/>
    <xf numFmtId="0" fontId="3" fillId="0" borderId="0"/>
    <xf numFmtId="43" fontId="3" fillId="0" borderId="0" applyFont="0" applyFill="0" applyBorder="0" applyAlignment="0" applyProtection="0"/>
    <xf numFmtId="0" fontId="5"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341">
    <xf numFmtId="0" fontId="0" fillId="0" borderId="0" xfId="0"/>
    <xf numFmtId="0" fontId="7" fillId="0" borderId="0" xfId="0" applyFont="1" applyFill="1" applyBorder="1" applyAlignment="1">
      <alignment horizontal="center" vertical="top"/>
    </xf>
    <xf numFmtId="0" fontId="7" fillId="0" borderId="0" xfId="0" applyFont="1" applyFill="1" applyBorder="1" applyAlignment="1">
      <alignment vertical="top"/>
    </xf>
    <xf numFmtId="3" fontId="7" fillId="0" borderId="0" xfId="0" applyNumberFormat="1" applyFont="1" applyFill="1" applyBorder="1" applyAlignment="1">
      <alignment horizontal="center" vertical="top"/>
    </xf>
    <xf numFmtId="0" fontId="6" fillId="0" borderId="0" xfId="0" applyFont="1" applyFill="1" applyBorder="1" applyAlignment="1">
      <alignment horizontal="center"/>
    </xf>
    <xf numFmtId="0" fontId="6" fillId="0" borderId="0" xfId="0" applyFont="1" applyFill="1" applyBorder="1"/>
    <xf numFmtId="0" fontId="10" fillId="0" borderId="0" xfId="0" applyFont="1" applyFill="1"/>
    <xf numFmtId="0" fontId="5" fillId="0" borderId="0" xfId="0" applyFont="1" applyFill="1"/>
    <xf numFmtId="0" fontId="7" fillId="0" borderId="0" xfId="0" applyFont="1" applyFill="1" applyAlignment="1">
      <alignment vertical="center"/>
    </xf>
    <xf numFmtId="0" fontId="7" fillId="0" borderId="0" xfId="0" applyFont="1" applyFill="1" applyAlignment="1">
      <alignment horizontal="left"/>
    </xf>
    <xf numFmtId="165" fontId="10" fillId="0" borderId="0" xfId="0" applyNumberFormat="1" applyFont="1" applyFill="1" applyAlignment="1">
      <alignment vertical="center"/>
    </xf>
    <xf numFmtId="0" fontId="14" fillId="0" borderId="0" xfId="0" applyFont="1" applyFill="1" applyBorder="1" applyAlignment="1">
      <alignment vertical="top"/>
    </xf>
    <xf numFmtId="3" fontId="7" fillId="0" borderId="2" xfId="2" applyNumberFormat="1" applyFont="1" applyFill="1" applyBorder="1" applyAlignment="1">
      <alignment horizontal="center" vertical="top"/>
    </xf>
    <xf numFmtId="0" fontId="7" fillId="0" borderId="2" xfId="2" applyFont="1" applyFill="1" applyBorder="1" applyAlignment="1">
      <alignment horizontal="center" vertical="top" wrapText="1"/>
    </xf>
    <xf numFmtId="0" fontId="7" fillId="0" borderId="2" xfId="2" applyFont="1" applyFill="1" applyBorder="1" applyAlignment="1">
      <alignment horizontal="center" vertical="top"/>
    </xf>
    <xf numFmtId="0" fontId="9" fillId="0" borderId="2" xfId="2" applyFont="1" applyFill="1" applyBorder="1" applyAlignment="1">
      <alignment horizontal="center" vertical="top"/>
    </xf>
    <xf numFmtId="1" fontId="7" fillId="0" borderId="2" xfId="2"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17" fontId="7" fillId="0" borderId="2" xfId="2" applyNumberFormat="1" applyFont="1" applyFill="1" applyBorder="1" applyAlignment="1">
      <alignment horizontal="right" vertical="top" wrapText="1"/>
    </xf>
    <xf numFmtId="164" fontId="14" fillId="0" borderId="2" xfId="2" applyNumberFormat="1" applyFont="1" applyFill="1" applyBorder="1" applyAlignment="1">
      <alignment horizontal="right" vertical="top" wrapText="1"/>
    </xf>
    <xf numFmtId="164" fontId="7" fillId="0" borderId="2" xfId="2" applyNumberFormat="1" applyFont="1" applyFill="1" applyBorder="1" applyAlignment="1">
      <alignment horizontal="right" vertical="top" wrapText="1"/>
    </xf>
    <xf numFmtId="0" fontId="5" fillId="0" borderId="0" xfId="0" applyFont="1"/>
    <xf numFmtId="0" fontId="5" fillId="0" borderId="0" xfId="0" applyFont="1" applyFill="1" applyAlignment="1">
      <alignment vertical="top" wrapText="1"/>
    </xf>
    <xf numFmtId="0" fontId="5" fillId="0" borderId="0" xfId="0" applyFont="1" applyFill="1" applyBorder="1" applyAlignment="1">
      <alignment vertical="top" wrapText="1"/>
    </xf>
    <xf numFmtId="0" fontId="0" fillId="0" borderId="0" xfId="0" applyFill="1"/>
    <xf numFmtId="0" fontId="16" fillId="0" borderId="0" xfId="0" applyFont="1" applyFill="1" applyAlignment="1">
      <alignment vertical="top" wrapText="1"/>
    </xf>
    <xf numFmtId="0" fontId="16" fillId="0" borderId="0" xfId="0" applyFont="1" applyAlignment="1">
      <alignment vertical="top" wrapText="1"/>
    </xf>
    <xf numFmtId="49" fontId="8" fillId="0" borderId="0" xfId="0" applyNumberFormat="1" applyFont="1" applyFill="1" applyAlignment="1">
      <alignment horizontal="right" vertical="top"/>
    </xf>
    <xf numFmtId="49" fontId="8" fillId="0" borderId="0" xfId="0" applyNumberFormat="1" applyFont="1" applyAlignment="1">
      <alignment horizontal="right" vertical="top"/>
    </xf>
    <xf numFmtId="49" fontId="8" fillId="0" borderId="0" xfId="0" applyNumberFormat="1" applyFont="1" applyAlignment="1">
      <alignment horizontal="right" vertical="top" wrapText="1"/>
    </xf>
    <xf numFmtId="165" fontId="7" fillId="0" borderId="0" xfId="0" quotePrefix="1" applyNumberFormat="1" applyFont="1" applyFill="1" applyAlignment="1">
      <alignment vertical="center"/>
    </xf>
    <xf numFmtId="0" fontId="6" fillId="0" borderId="0" xfId="0" quotePrefix="1" applyFont="1" applyFill="1" applyAlignment="1">
      <alignment vertical="center"/>
    </xf>
    <xf numFmtId="0" fontId="5" fillId="0" borderId="0" xfId="0" applyFont="1" applyAlignment="1">
      <alignment wrapText="1"/>
    </xf>
    <xf numFmtId="0" fontId="19" fillId="0" borderId="0" xfId="0" applyFont="1"/>
    <xf numFmtId="0" fontId="16" fillId="0" borderId="0" xfId="0" applyFont="1" applyFill="1"/>
    <xf numFmtId="0" fontId="5" fillId="0" borderId="0" xfId="0" applyFont="1" applyFill="1" applyAlignment="1">
      <alignment vertical="center"/>
    </xf>
    <xf numFmtId="0" fontId="5" fillId="0" borderId="0" xfId="0" applyFont="1" applyFill="1" applyAlignment="1">
      <alignment horizontal="left"/>
    </xf>
    <xf numFmtId="14" fontId="5" fillId="0" borderId="0" xfId="0" applyNumberFormat="1" applyFont="1" applyFill="1"/>
    <xf numFmtId="0" fontId="20" fillId="3" borderId="10" xfId="0" quotePrefix="1" applyFont="1" applyFill="1" applyBorder="1" applyAlignment="1"/>
    <xf numFmtId="0" fontId="21" fillId="3" borderId="8" xfId="0" applyFont="1" applyFill="1" applyBorder="1" applyAlignment="1"/>
    <xf numFmtId="0" fontId="22" fillId="3" borderId="3" xfId="0" applyFont="1" applyFill="1" applyBorder="1" applyAlignment="1">
      <alignment vertical="top"/>
    </xf>
    <xf numFmtId="0" fontId="23" fillId="3" borderId="3" xfId="0" applyFont="1" applyFill="1" applyBorder="1" applyAlignment="1">
      <alignment horizontal="center" vertical="top" wrapText="1"/>
    </xf>
    <xf numFmtId="0" fontId="23" fillId="3" borderId="3" xfId="0" applyFont="1" applyFill="1" applyBorder="1" applyAlignment="1">
      <alignment horizontal="center"/>
    </xf>
    <xf numFmtId="0" fontId="25" fillId="3" borderId="3" xfId="0" applyFont="1" applyFill="1" applyBorder="1" applyAlignment="1">
      <alignment vertical="top"/>
    </xf>
    <xf numFmtId="0" fontId="25" fillId="3" borderId="0" xfId="0" applyFont="1" applyFill="1" applyBorder="1" applyAlignment="1">
      <alignment vertical="top"/>
    </xf>
    <xf numFmtId="0" fontId="23" fillId="3" borderId="0" xfId="0" applyFont="1" applyFill="1" applyBorder="1" applyAlignment="1">
      <alignment horizontal="center"/>
    </xf>
    <xf numFmtId="0" fontId="23" fillId="3" borderId="1" xfId="0" applyFont="1" applyFill="1" applyBorder="1" applyAlignment="1">
      <alignment horizontal="center" vertical="top" wrapText="1"/>
    </xf>
    <xf numFmtId="0" fontId="25" fillId="3" borderId="1" xfId="0" applyFont="1" applyFill="1" applyBorder="1" applyAlignment="1">
      <alignment horizontal="center" vertical="top" wrapText="1"/>
    </xf>
    <xf numFmtId="0" fontId="23" fillId="3" borderId="1" xfId="0" applyFont="1" applyFill="1" applyBorder="1" applyAlignment="1">
      <alignment horizontal="center"/>
    </xf>
    <xf numFmtId="0" fontId="23" fillId="3" borderId="7" xfId="0" applyFont="1" applyFill="1" applyBorder="1" applyAlignment="1"/>
    <xf numFmtId="0" fontId="23" fillId="3" borderId="0" xfId="0" applyFont="1" applyFill="1" applyBorder="1" applyAlignment="1">
      <alignment horizontal="center" wrapText="1"/>
    </xf>
    <xf numFmtId="167" fontId="23" fillId="3" borderId="1" xfId="4" applyNumberFormat="1" applyFont="1" applyFill="1" applyBorder="1" applyAlignment="1">
      <alignment horizontal="center" vertical="top" wrapText="1"/>
    </xf>
    <xf numFmtId="0" fontId="23" fillId="3" borderId="11" xfId="0" applyFont="1" applyFill="1" applyBorder="1" applyAlignment="1">
      <alignment horizontal="center" vertical="top" wrapText="1"/>
    </xf>
    <xf numFmtId="49" fontId="23" fillId="3" borderId="13" xfId="0" applyNumberFormat="1" applyFont="1" applyFill="1" applyBorder="1" applyAlignment="1">
      <alignment horizontal="center" vertical="top"/>
    </xf>
    <xf numFmtId="49" fontId="23" fillId="3" borderId="14" xfId="0" applyNumberFormat="1" applyFont="1" applyFill="1" applyBorder="1" applyAlignment="1">
      <alignment horizontal="center" vertical="top" wrapText="1"/>
    </xf>
    <xf numFmtId="0" fontId="23" fillId="3" borderId="15" xfId="0" applyFont="1" applyFill="1" applyBorder="1" applyAlignment="1">
      <alignment horizontal="center" vertical="top" wrapText="1"/>
    </xf>
    <xf numFmtId="0" fontId="5" fillId="0" borderId="0" xfId="0" quotePrefix="1" applyFont="1" applyFill="1" applyAlignment="1">
      <alignment horizontal="left" vertical="center"/>
    </xf>
    <xf numFmtId="0" fontId="27" fillId="0" borderId="0" xfId="16" applyFont="1"/>
    <xf numFmtId="0" fontId="27" fillId="0" borderId="0" xfId="16" applyFont="1" applyFill="1"/>
    <xf numFmtId="0" fontId="27" fillId="0" borderId="0" xfId="0" applyFont="1" applyFill="1" applyAlignment="1"/>
    <xf numFmtId="0" fontId="28" fillId="0" borderId="0" xfId="16" applyFont="1"/>
    <xf numFmtId="0" fontId="27" fillId="5" borderId="0" xfId="16" applyFont="1" applyFill="1"/>
    <xf numFmtId="0" fontId="27" fillId="0" borderId="0" xfId="16" applyFont="1" applyAlignment="1">
      <alignment vertical="center"/>
    </xf>
    <xf numFmtId="0" fontId="27" fillId="0" borderId="0" xfId="16" applyFont="1" applyAlignment="1">
      <alignment vertical="top" wrapText="1"/>
    </xf>
    <xf numFmtId="0" fontId="13" fillId="0" borderId="0" xfId="2" applyFont="1" applyFill="1" applyBorder="1" applyAlignment="1">
      <alignment horizontal="center" vertical="top"/>
    </xf>
    <xf numFmtId="17" fontId="5" fillId="0" borderId="0" xfId="2" applyNumberFormat="1" applyFont="1" applyFill="1" applyBorder="1" applyAlignment="1">
      <alignment horizontal="center" vertical="top" wrapText="1"/>
    </xf>
    <xf numFmtId="167" fontId="5" fillId="0" borderId="6" xfId="4" applyNumberFormat="1" applyFont="1" applyFill="1" applyBorder="1"/>
    <xf numFmtId="0" fontId="5" fillId="0" borderId="0" xfId="2" applyFont="1" applyFill="1" applyBorder="1" applyAlignment="1">
      <alignment horizontal="center" vertical="top"/>
    </xf>
    <xf numFmtId="1" fontId="5" fillId="0" borderId="0" xfId="2" applyNumberFormat="1" applyFont="1" applyFill="1" applyBorder="1" applyAlignment="1">
      <alignment horizontal="center" vertical="top"/>
    </xf>
    <xf numFmtId="3" fontId="5" fillId="0" borderId="0" xfId="2" applyNumberFormat="1" applyFont="1" applyFill="1" applyBorder="1" applyAlignment="1">
      <alignment horizontal="center" vertical="top"/>
    </xf>
    <xf numFmtId="0" fontId="5" fillId="0" borderId="0" xfId="2" applyFont="1" applyFill="1" applyBorder="1" applyAlignment="1">
      <alignment horizontal="center" vertical="top" wrapText="1"/>
    </xf>
    <xf numFmtId="164" fontId="5" fillId="0" borderId="0" xfId="2" applyNumberFormat="1" applyFont="1" applyFill="1" applyBorder="1" applyAlignment="1">
      <alignment horizontal="right" vertical="top" wrapText="1"/>
    </xf>
    <xf numFmtId="0" fontId="5" fillId="0" borderId="8" xfId="2" applyFont="1" applyFill="1" applyBorder="1" applyAlignment="1">
      <alignment vertical="top" wrapText="1"/>
    </xf>
    <xf numFmtId="0" fontId="5" fillId="0" borderId="8" xfId="0" applyFont="1" applyFill="1" applyBorder="1" applyAlignment="1">
      <alignment vertical="top"/>
    </xf>
    <xf numFmtId="167" fontId="23" fillId="3" borderId="7" xfId="4" applyNumberFormat="1" applyFont="1" applyFill="1" applyBorder="1" applyAlignment="1">
      <alignment horizontal="center" vertical="top" wrapText="1"/>
    </xf>
    <xf numFmtId="167" fontId="6" fillId="0" borderId="8" xfId="4" applyNumberFormat="1" applyFont="1" applyFill="1" applyBorder="1" applyAlignment="1">
      <alignment horizontal="center" vertical="top"/>
    </xf>
    <xf numFmtId="167" fontId="5" fillId="0" borderId="0" xfId="4" applyNumberFormat="1" applyFont="1" applyFill="1" applyBorder="1" applyAlignment="1">
      <alignment horizontal="right"/>
    </xf>
    <xf numFmtId="3" fontId="5" fillId="0" borderId="1" xfId="0" applyNumberFormat="1" applyFont="1" applyFill="1" applyBorder="1" applyAlignment="1">
      <alignment horizontal="center" vertical="top" wrapText="1"/>
    </xf>
    <xf numFmtId="0" fontId="5" fillId="0" borderId="1" xfId="2" applyFont="1" applyFill="1" applyBorder="1" applyAlignment="1">
      <alignment horizontal="center" vertical="top"/>
    </xf>
    <xf numFmtId="0" fontId="22" fillId="3" borderId="10" xfId="0" applyFont="1" applyFill="1" applyBorder="1" applyAlignment="1">
      <alignment vertical="top"/>
    </xf>
    <xf numFmtId="0" fontId="23" fillId="3" borderId="7" xfId="0" applyFont="1" applyFill="1" applyBorder="1" applyAlignment="1">
      <alignment horizontal="center" vertical="top" wrapText="1"/>
    </xf>
    <xf numFmtId="0" fontId="23" fillId="3" borderId="1" xfId="0" applyFont="1" applyFill="1" applyBorder="1" applyAlignment="1">
      <alignment horizontal="center" vertical="top"/>
    </xf>
    <xf numFmtId="49" fontId="5" fillId="0" borderId="0" xfId="0" applyNumberFormat="1" applyFont="1" applyAlignment="1">
      <alignment horizontal="right" vertical="top" wrapText="1"/>
    </xf>
    <xf numFmtId="167" fontId="6" fillId="0" borderId="6" xfId="4" applyNumberFormat="1" applyFont="1" applyFill="1" applyBorder="1" applyAlignment="1">
      <alignment horizontal="center" vertical="top"/>
    </xf>
    <xf numFmtId="0" fontId="5" fillId="6" borderId="0" xfId="0" applyFont="1" applyFill="1" applyBorder="1"/>
    <xf numFmtId="0" fontId="5" fillId="6" borderId="0" xfId="0" applyFont="1" applyFill="1"/>
    <xf numFmtId="0" fontId="23" fillId="0" borderId="0" xfId="0" applyFont="1" applyFill="1" applyBorder="1" applyAlignment="1">
      <alignment horizontal="center" wrapText="1"/>
    </xf>
    <xf numFmtId="0" fontId="23" fillId="3" borderId="9" xfId="0" applyFont="1" applyFill="1" applyBorder="1" applyAlignment="1">
      <alignment horizontal="center"/>
    </xf>
    <xf numFmtId="0" fontId="23" fillId="3" borderId="6" xfId="0" applyFont="1" applyFill="1" applyBorder="1" applyAlignment="1">
      <alignment horizontal="center" wrapText="1"/>
    </xf>
    <xf numFmtId="0" fontId="25" fillId="3" borderId="11" xfId="0" applyFont="1" applyFill="1" applyBorder="1" applyAlignment="1">
      <alignment horizontal="center" vertical="top" wrapText="1"/>
    </xf>
    <xf numFmtId="164" fontId="5" fillId="0" borderId="6" xfId="2" applyNumberFormat="1" applyFont="1" applyFill="1" applyBorder="1" applyAlignment="1">
      <alignment horizontal="right" vertical="top" wrapText="1"/>
    </xf>
    <xf numFmtId="0" fontId="23" fillId="0" borderId="0" xfId="0" applyFont="1" applyFill="1" applyBorder="1" applyAlignment="1">
      <alignment horizontal="center"/>
    </xf>
    <xf numFmtId="0" fontId="25" fillId="0" borderId="0" xfId="0" applyFont="1" applyFill="1" applyBorder="1" applyAlignment="1">
      <alignment horizontal="center" vertical="top" wrapText="1"/>
    </xf>
    <xf numFmtId="164" fontId="5" fillId="0" borderId="1" xfId="2" applyNumberFormat="1" applyFont="1" applyFill="1" applyBorder="1" applyAlignment="1">
      <alignment horizontal="right" vertical="top" wrapText="1"/>
    </xf>
    <xf numFmtId="165" fontId="5" fillId="0" borderId="0" xfId="0" applyNumberFormat="1" applyFont="1" applyFill="1" applyAlignment="1">
      <alignment vertical="center"/>
    </xf>
    <xf numFmtId="165" fontId="40" fillId="0" borderId="0" xfId="0" applyNumberFormat="1" applyFont="1" applyFill="1" applyAlignment="1">
      <alignment horizontal="left" vertical="center"/>
    </xf>
    <xf numFmtId="0" fontId="16" fillId="0" borderId="0" xfId="0" applyFont="1" applyAlignment="1">
      <alignment horizontal="left" vertical="top" wrapText="1"/>
    </xf>
    <xf numFmtId="17" fontId="5" fillId="0" borderId="1" xfId="2" applyNumberFormat="1" applyFont="1" applyFill="1" applyBorder="1" applyAlignment="1">
      <alignment horizontal="center" vertical="top" wrapText="1"/>
    </xf>
    <xf numFmtId="167" fontId="5" fillId="6" borderId="15" xfId="4" applyNumberFormat="1" applyFont="1" applyFill="1" applyBorder="1" applyAlignment="1">
      <alignment horizontal="right" vertical="top" wrapText="1"/>
    </xf>
    <xf numFmtId="0" fontId="5" fillId="6" borderId="1" xfId="0" applyFont="1" applyFill="1" applyBorder="1" applyAlignment="1">
      <alignment horizontal="center" vertical="top" wrapText="1"/>
    </xf>
    <xf numFmtId="3" fontId="5" fillId="6" borderId="1" xfId="0" applyNumberFormat="1" applyFont="1" applyFill="1" applyBorder="1" applyAlignment="1">
      <alignment horizontal="center" vertical="top" wrapText="1"/>
    </xf>
    <xf numFmtId="167" fontId="5" fillId="6" borderId="1" xfId="4" applyNumberFormat="1" applyFont="1" applyFill="1" applyBorder="1" applyAlignment="1">
      <alignment horizontal="right" vertical="top" wrapText="1"/>
    </xf>
    <xf numFmtId="167" fontId="5" fillId="6" borderId="7" xfId="4" applyNumberFormat="1" applyFont="1" applyFill="1" applyBorder="1" applyAlignment="1">
      <alignment horizontal="center" vertical="top"/>
    </xf>
    <xf numFmtId="167" fontId="5" fillId="6" borderId="1" xfId="4" applyNumberFormat="1" applyFont="1" applyFill="1" applyBorder="1" applyAlignment="1">
      <alignment horizontal="center" vertical="top"/>
    </xf>
    <xf numFmtId="167" fontId="5" fillId="6" borderId="11" xfId="4" applyNumberFormat="1" applyFont="1" applyFill="1" applyBorder="1" applyAlignment="1">
      <alignment horizontal="center" vertical="top"/>
    </xf>
    <xf numFmtId="167" fontId="5" fillId="0" borderId="8" xfId="4" applyNumberFormat="1" applyFont="1" applyFill="1" applyBorder="1"/>
    <xf numFmtId="0" fontId="20" fillId="3" borderId="8" xfId="0" quotePrefix="1" applyFont="1" applyFill="1" applyBorder="1" applyAlignment="1"/>
    <xf numFmtId="49" fontId="23" fillId="3" borderId="14" xfId="0" applyNumberFormat="1" applyFont="1" applyFill="1" applyBorder="1" applyAlignment="1">
      <alignment horizontal="center" vertical="top"/>
    </xf>
    <xf numFmtId="0" fontId="22" fillId="3" borderId="8" xfId="0" applyFont="1" applyFill="1" applyBorder="1" applyAlignment="1">
      <alignment vertical="top"/>
    </xf>
    <xf numFmtId="0" fontId="22" fillId="3" borderId="0" xfId="0" applyFont="1" applyFill="1" applyBorder="1" applyAlignment="1">
      <alignment vertical="top"/>
    </xf>
    <xf numFmtId="0" fontId="23" fillId="3" borderId="0" xfId="0" applyFont="1" applyFill="1" applyBorder="1" applyAlignment="1">
      <alignment horizontal="center" vertical="top" wrapText="1"/>
    </xf>
    <xf numFmtId="0" fontId="23" fillId="3" borderId="6" xfId="0" applyFont="1" applyFill="1" applyBorder="1" applyAlignment="1">
      <alignment horizontal="center"/>
    </xf>
    <xf numFmtId="0" fontId="5" fillId="0" borderId="0" xfId="0" applyFont="1" applyFill="1" applyBorder="1" applyAlignment="1">
      <alignment horizontal="center" vertical="top"/>
    </xf>
    <xf numFmtId="3" fontId="5" fillId="0" borderId="0" xfId="0" applyNumberFormat="1" applyFont="1" applyFill="1" applyBorder="1" applyAlignment="1">
      <alignment horizontal="center" vertical="top"/>
    </xf>
    <xf numFmtId="0" fontId="5" fillId="0" borderId="0" xfId="0" applyFont="1" applyFill="1"/>
    <xf numFmtId="167" fontId="5" fillId="0" borderId="0" xfId="4" quotePrefix="1" applyNumberFormat="1" applyFont="1" applyFill="1" applyBorder="1" applyAlignment="1">
      <alignment horizontal="center" vertical="top"/>
    </xf>
    <xf numFmtId="167" fontId="5" fillId="0" borderId="0" xfId="4" applyNumberFormat="1" applyFont="1" applyFill="1" applyBorder="1" applyAlignment="1">
      <alignment horizontal="center" vertical="top"/>
    </xf>
    <xf numFmtId="0" fontId="5" fillId="0" borderId="0" xfId="0" applyFont="1" applyFill="1" applyBorder="1"/>
    <xf numFmtId="0" fontId="5" fillId="0" borderId="0" xfId="0" applyFont="1" applyFill="1" applyAlignment="1">
      <alignment horizontal="right"/>
    </xf>
    <xf numFmtId="3" fontId="5" fillId="0" borderId="0" xfId="0" applyNumberFormat="1" applyFont="1" applyFill="1" applyBorder="1" applyAlignment="1">
      <alignment horizontal="right" vertical="top" wrapText="1"/>
    </xf>
    <xf numFmtId="0" fontId="5" fillId="0" borderId="0" xfId="0" applyFont="1" applyFill="1" applyBorder="1" applyAlignment="1">
      <alignment horizontal="center" vertical="top" wrapText="1"/>
    </xf>
    <xf numFmtId="3" fontId="5" fillId="0" borderId="0" xfId="0" applyNumberFormat="1" applyFont="1" applyFill="1" applyBorder="1" applyAlignment="1">
      <alignment horizontal="center"/>
    </xf>
    <xf numFmtId="3" fontId="5" fillId="0" borderId="0" xfId="0" applyNumberFormat="1" applyFont="1" applyFill="1" applyBorder="1" applyAlignment="1">
      <alignment horizontal="center" vertical="top" wrapText="1"/>
    </xf>
    <xf numFmtId="0" fontId="5" fillId="0" borderId="1" xfId="0" applyFont="1" applyFill="1" applyBorder="1"/>
    <xf numFmtId="166" fontId="5" fillId="0" borderId="0" xfId="0" applyNumberFormat="1" applyFont="1" applyFill="1"/>
    <xf numFmtId="167" fontId="5" fillId="0" borderId="0" xfId="4" applyNumberFormat="1" applyFont="1" applyFill="1" applyBorder="1" applyAlignment="1">
      <alignment vertical="top"/>
    </xf>
    <xf numFmtId="167" fontId="5" fillId="0" borderId="0" xfId="4" applyNumberFormat="1" applyFont="1" applyFill="1" applyBorder="1" applyAlignment="1">
      <alignment horizontal="right" vertical="top" wrapText="1"/>
    </xf>
    <xf numFmtId="167" fontId="5" fillId="0" borderId="6" xfId="4" applyNumberFormat="1" applyFont="1" applyFill="1" applyBorder="1" applyAlignment="1">
      <alignment horizontal="right" vertical="top" wrapText="1"/>
    </xf>
    <xf numFmtId="167" fontId="26" fillId="4" borderId="2" xfId="4" quotePrefix="1" applyNumberFormat="1" applyFont="1" applyFill="1" applyBorder="1" applyAlignment="1">
      <alignment horizontal="center" vertical="top"/>
    </xf>
    <xf numFmtId="167" fontId="26" fillId="4" borderId="5" xfId="4" quotePrefix="1" applyNumberFormat="1" applyFont="1" applyFill="1" applyBorder="1" applyAlignment="1">
      <alignment horizontal="center" vertical="top"/>
    </xf>
    <xf numFmtId="0" fontId="5" fillId="0" borderId="13" xfId="0" applyFont="1" applyFill="1" applyBorder="1" applyAlignment="1">
      <alignment horizontal="right" vertical="top"/>
    </xf>
    <xf numFmtId="0" fontId="13" fillId="0" borderId="0" xfId="3" applyFont="1" applyFill="1" applyBorder="1" applyAlignment="1">
      <alignment horizontal="center" vertical="top"/>
    </xf>
    <xf numFmtId="167" fontId="5" fillId="0" borderId="6" xfId="4" applyNumberFormat="1" applyFont="1" applyFill="1" applyBorder="1" applyAlignment="1">
      <alignment vertical="top"/>
    </xf>
    <xf numFmtId="0" fontId="5" fillId="0" borderId="0" xfId="3" applyFont="1" applyFill="1" applyBorder="1" applyAlignment="1">
      <alignment horizontal="center" vertical="top" wrapText="1"/>
    </xf>
    <xf numFmtId="0" fontId="5" fillId="0" borderId="8" xfId="3" applyFont="1" applyFill="1" applyBorder="1" applyAlignment="1">
      <alignment vertical="top" wrapText="1"/>
    </xf>
    <xf numFmtId="0" fontId="5" fillId="0" borderId="0" xfId="3" applyFont="1" applyFill="1" applyBorder="1" applyAlignment="1">
      <alignment horizontal="center" vertical="top"/>
    </xf>
    <xf numFmtId="1" fontId="5" fillId="0" borderId="0" xfId="3" applyNumberFormat="1" applyFont="1" applyFill="1" applyBorder="1" applyAlignment="1">
      <alignment horizontal="center" vertical="top"/>
    </xf>
    <xf numFmtId="3" fontId="5" fillId="0" borderId="0" xfId="3" applyNumberFormat="1" applyFont="1" applyFill="1" applyBorder="1" applyAlignment="1">
      <alignment horizontal="center" vertical="top"/>
    </xf>
    <xf numFmtId="164" fontId="5" fillId="0" borderId="0" xfId="3" applyNumberFormat="1" applyFont="1" applyFill="1" applyBorder="1" applyAlignment="1">
      <alignment horizontal="right" vertical="top" wrapText="1"/>
    </xf>
    <xf numFmtId="167" fontId="5" fillId="0" borderId="14" xfId="4" applyNumberFormat="1" applyFont="1" applyFill="1" applyBorder="1" applyAlignment="1">
      <alignment horizontal="right" vertical="top" wrapText="1"/>
    </xf>
    <xf numFmtId="0" fontId="26" fillId="4" borderId="4" xfId="0" applyFont="1" applyFill="1" applyBorder="1" applyAlignment="1">
      <alignment vertical="top"/>
    </xf>
    <xf numFmtId="0" fontId="26" fillId="4" borderId="12" xfId="0" applyFont="1" applyFill="1" applyBorder="1" applyAlignment="1">
      <alignment horizontal="right" vertical="top"/>
    </xf>
    <xf numFmtId="49" fontId="26" fillId="4" borderId="2" xfId="0" quotePrefix="1" applyNumberFormat="1" applyFont="1" applyFill="1" applyBorder="1" applyAlignment="1">
      <alignment vertical="top"/>
    </xf>
    <xf numFmtId="0" fontId="29" fillId="4" borderId="2" xfId="0" quotePrefix="1" applyFont="1" applyFill="1" applyBorder="1" applyAlignment="1">
      <alignment vertical="top"/>
    </xf>
    <xf numFmtId="0" fontId="30" fillId="4" borderId="2" xfId="0" quotePrefix="1" applyFont="1" applyFill="1" applyBorder="1" applyAlignment="1">
      <alignment vertical="top"/>
    </xf>
    <xf numFmtId="0" fontId="29" fillId="4" borderId="4" xfId="0" quotePrefix="1" applyFont="1" applyFill="1" applyBorder="1" applyAlignment="1">
      <alignment vertical="top"/>
    </xf>
    <xf numFmtId="167" fontId="26" fillId="4" borderId="12" xfId="4" applyNumberFormat="1" applyFont="1" applyFill="1" applyBorder="1" applyAlignment="1">
      <alignment horizontal="right" vertical="top"/>
    </xf>
    <xf numFmtId="0" fontId="26" fillId="4" borderId="2" xfId="0" quotePrefix="1" applyFont="1" applyFill="1" applyBorder="1" applyAlignment="1">
      <alignment vertical="top"/>
    </xf>
    <xf numFmtId="0" fontId="32" fillId="4" borderId="2" xfId="0" quotePrefix="1" applyFont="1" applyFill="1" applyBorder="1" applyAlignment="1">
      <alignment vertical="top"/>
    </xf>
    <xf numFmtId="0" fontId="33" fillId="4" borderId="2" xfId="0" quotePrefix="1" applyFont="1" applyFill="1" applyBorder="1" applyAlignment="1">
      <alignment vertical="top"/>
    </xf>
    <xf numFmtId="0" fontId="5" fillId="0" borderId="0" xfId="0" quotePrefix="1" applyFont="1" applyFill="1" applyBorder="1" applyAlignment="1">
      <alignment horizontal="left" vertical="top" wrapText="1"/>
    </xf>
    <xf numFmtId="167" fontId="5" fillId="0" borderId="0" xfId="4" applyNumberFormat="1" applyFont="1" applyFill="1" applyBorder="1"/>
    <xf numFmtId="0" fontId="12" fillId="0" borderId="10" xfId="0" quotePrefix="1" applyFont="1" applyFill="1" applyBorder="1" applyAlignment="1">
      <alignment vertical="top"/>
    </xf>
    <xf numFmtId="0" fontId="31" fillId="0" borderId="13" xfId="0" quotePrefix="1" applyFont="1" applyFill="1" applyBorder="1" applyAlignment="1">
      <alignment horizontal="right" vertical="top"/>
    </xf>
    <xf numFmtId="0" fontId="12" fillId="0" borderId="3" xfId="0" quotePrefix="1" applyFont="1" applyFill="1" applyBorder="1" applyAlignment="1">
      <alignment vertical="top"/>
    </xf>
    <xf numFmtId="0" fontId="5" fillId="0" borderId="0" xfId="0" applyFont="1" applyFill="1" applyBorder="1" applyAlignment="1">
      <alignment horizontal="right"/>
    </xf>
    <xf numFmtId="167" fontId="25" fillId="4" borderId="5" xfId="4" quotePrefix="1" applyNumberFormat="1" applyFont="1" applyFill="1" applyBorder="1" applyAlignment="1">
      <alignment horizontal="center" vertical="top"/>
    </xf>
    <xf numFmtId="167" fontId="25" fillId="4" borderId="2" xfId="4" quotePrefix="1" applyNumberFormat="1" applyFont="1" applyFill="1" applyBorder="1" applyAlignment="1">
      <alignment horizontal="center" vertical="top"/>
    </xf>
    <xf numFmtId="164" fontId="5" fillId="0" borderId="6" xfId="3" applyNumberFormat="1" applyFont="1" applyFill="1" applyBorder="1" applyAlignment="1">
      <alignment horizontal="right" vertical="top" wrapText="1"/>
    </xf>
    <xf numFmtId="167" fontId="5" fillId="0" borderId="14" xfId="4" quotePrefix="1" applyNumberFormat="1" applyFont="1" applyFill="1" applyBorder="1" applyAlignment="1">
      <alignment horizontal="right" vertical="top" wrapText="1"/>
    </xf>
    <xf numFmtId="0" fontId="29" fillId="0" borderId="0" xfId="0" quotePrefix="1" applyFont="1" applyFill="1" applyBorder="1" applyAlignment="1">
      <alignment vertical="top"/>
    </xf>
    <xf numFmtId="0" fontId="12" fillId="0" borderId="0" xfId="0" quotePrefix="1" applyFont="1" applyFill="1" applyBorder="1" applyAlignment="1">
      <alignment vertical="top"/>
    </xf>
    <xf numFmtId="0" fontId="29" fillId="4" borderId="2" xfId="0" quotePrefix="1" applyFont="1" applyFill="1" applyBorder="1" applyAlignment="1">
      <alignment horizontal="center" vertical="top"/>
    </xf>
    <xf numFmtId="0" fontId="12" fillId="0" borderId="3" xfId="0" quotePrefix="1" applyFont="1" applyFill="1" applyBorder="1" applyAlignment="1">
      <alignment horizontal="center" vertical="top"/>
    </xf>
    <xf numFmtId="0" fontId="26" fillId="4" borderId="2" xfId="0" quotePrefix="1" applyFont="1" applyFill="1" applyBorder="1" applyAlignment="1">
      <alignment horizontal="center" vertical="top"/>
    </xf>
    <xf numFmtId="0" fontId="5" fillId="0" borderId="6" xfId="0" applyFont="1" applyFill="1" applyBorder="1" applyAlignment="1">
      <alignment horizontal="right"/>
    </xf>
    <xf numFmtId="0" fontId="29" fillId="4" borderId="2" xfId="0" quotePrefix="1" applyFont="1" applyFill="1" applyBorder="1" applyAlignment="1">
      <alignment horizontal="right" vertical="top"/>
    </xf>
    <xf numFmtId="0" fontId="29" fillId="4" borderId="5" xfId="0" quotePrefix="1" applyFont="1" applyFill="1" applyBorder="1" applyAlignment="1">
      <alignment horizontal="right" vertical="top"/>
    </xf>
    <xf numFmtId="0" fontId="12" fillId="0" borderId="3" xfId="0" quotePrefix="1" applyFont="1" applyFill="1" applyBorder="1" applyAlignment="1">
      <alignment horizontal="right" vertical="top"/>
    </xf>
    <xf numFmtId="0" fontId="12" fillId="0" borderId="9" xfId="0" quotePrefix="1" applyFont="1" applyFill="1" applyBorder="1" applyAlignment="1">
      <alignment horizontal="right" vertical="top"/>
    </xf>
    <xf numFmtId="0" fontId="26" fillId="4" borderId="2" xfId="0" quotePrefix="1" applyFont="1" applyFill="1" applyBorder="1" applyAlignment="1">
      <alignment horizontal="right" vertical="top"/>
    </xf>
    <xf numFmtId="0" fontId="26" fillId="4" borderId="5" xfId="0" quotePrefix="1" applyFont="1" applyFill="1" applyBorder="1" applyAlignment="1">
      <alignment horizontal="right" vertical="top"/>
    </xf>
    <xf numFmtId="0" fontId="34" fillId="4" borderId="4" xfId="0" quotePrefix="1" applyFont="1" applyFill="1" applyBorder="1" applyAlignment="1">
      <alignment vertical="top"/>
    </xf>
    <xf numFmtId="167" fontId="5" fillId="0" borderId="8" xfId="4" applyNumberFormat="1" applyFont="1" applyFill="1" applyBorder="1" applyAlignment="1">
      <alignment vertical="top"/>
    </xf>
    <xf numFmtId="167" fontId="5" fillId="0" borderId="8" xfId="4" applyNumberFormat="1" applyFont="1" applyFill="1" applyBorder="1" applyAlignment="1">
      <alignment horizontal="center" vertical="top"/>
    </xf>
    <xf numFmtId="167" fontId="5" fillId="0" borderId="8" xfId="4" quotePrefix="1" applyNumberFormat="1" applyFont="1" applyFill="1" applyBorder="1" applyAlignment="1">
      <alignment horizontal="center" vertical="top"/>
    </xf>
    <xf numFmtId="167" fontId="5" fillId="0" borderId="6" xfId="4" quotePrefix="1" applyNumberFormat="1" applyFont="1" applyFill="1" applyBorder="1" applyAlignment="1">
      <alignment horizontal="center" vertical="top"/>
    </xf>
    <xf numFmtId="0" fontId="5" fillId="0" borderId="0" xfId="0" applyFont="1" applyFill="1" applyBorder="1" applyAlignment="1">
      <alignment horizontal="center"/>
    </xf>
    <xf numFmtId="167" fontId="5" fillId="0" borderId="6" xfId="4" applyNumberFormat="1" applyFont="1" applyFill="1" applyBorder="1" applyAlignment="1">
      <alignment horizontal="center" vertical="top"/>
    </xf>
    <xf numFmtId="17" fontId="5" fillId="0" borderId="0" xfId="3" applyNumberFormat="1" applyFont="1" applyFill="1" applyBorder="1" applyAlignment="1">
      <alignment horizontal="center" vertical="top" wrapText="1"/>
    </xf>
    <xf numFmtId="167" fontId="5" fillId="0" borderId="0" xfId="4" quotePrefix="1" applyNumberFormat="1" applyFont="1" applyFill="1" applyBorder="1" applyAlignment="1">
      <alignment horizontal="right" vertical="top" wrapText="1"/>
    </xf>
    <xf numFmtId="167" fontId="6" fillId="0" borderId="0" xfId="4" applyNumberFormat="1" applyFont="1" applyFill="1" applyBorder="1" applyAlignment="1">
      <alignment horizontal="right" vertical="top" wrapText="1"/>
    </xf>
    <xf numFmtId="0" fontId="6" fillId="0" borderId="8" xfId="0" applyFont="1" applyFill="1" applyBorder="1" applyAlignment="1">
      <alignment vertical="top" wrapText="1"/>
    </xf>
    <xf numFmtId="17" fontId="6" fillId="0" borderId="0" xfId="3" applyNumberFormat="1" applyFont="1" applyFill="1" applyBorder="1" applyAlignment="1">
      <alignment horizontal="center" vertical="top" wrapText="1"/>
    </xf>
    <xf numFmtId="167" fontId="26" fillId="4" borderId="0" xfId="4" quotePrefix="1" applyNumberFormat="1" applyFont="1" applyFill="1" applyBorder="1" applyAlignment="1">
      <alignment horizontal="center" vertical="top"/>
    </xf>
    <xf numFmtId="167" fontId="26" fillId="4" borderId="8" xfId="4" quotePrefix="1" applyNumberFormat="1" applyFont="1" applyFill="1" applyBorder="1" applyAlignment="1">
      <alignment horizontal="center" vertical="top"/>
    </xf>
    <xf numFmtId="167" fontId="26" fillId="4" borderId="6" xfId="4" quotePrefix="1" applyNumberFormat="1" applyFont="1" applyFill="1" applyBorder="1" applyAlignment="1">
      <alignment horizontal="center" vertical="top"/>
    </xf>
    <xf numFmtId="167" fontId="5" fillId="6" borderId="14" xfId="4" applyNumberFormat="1" applyFont="1" applyFill="1" applyBorder="1" applyAlignment="1">
      <alignment horizontal="right" vertical="top" wrapText="1"/>
    </xf>
    <xf numFmtId="0" fontId="5" fillId="6" borderId="0" xfId="0" applyFont="1" applyFill="1" applyBorder="1" applyAlignment="1">
      <alignment horizontal="center" vertical="top" wrapText="1"/>
    </xf>
    <xf numFmtId="0" fontId="13" fillId="6" borderId="0" xfId="3" applyFont="1" applyFill="1" applyBorder="1" applyAlignment="1">
      <alignment horizontal="center" vertical="top"/>
    </xf>
    <xf numFmtId="3" fontId="5" fillId="6" borderId="0" xfId="0" applyNumberFormat="1" applyFont="1" applyFill="1" applyBorder="1" applyAlignment="1">
      <alignment horizontal="center" vertical="top" wrapText="1"/>
    </xf>
    <xf numFmtId="167" fontId="5" fillId="6" borderId="0" xfId="4" applyNumberFormat="1" applyFont="1" applyFill="1" applyBorder="1" applyAlignment="1">
      <alignment horizontal="right" vertical="top" wrapText="1"/>
    </xf>
    <xf numFmtId="167" fontId="5" fillId="6" borderId="8" xfId="4" applyNumberFormat="1" applyFont="1" applyFill="1" applyBorder="1" applyAlignment="1">
      <alignment horizontal="center" vertical="top"/>
    </xf>
    <xf numFmtId="167" fontId="5" fillId="6" borderId="0" xfId="4" applyNumberFormat="1" applyFont="1" applyFill="1" applyBorder="1" applyAlignment="1">
      <alignment horizontal="center" vertical="top"/>
    </xf>
    <xf numFmtId="167" fontId="5" fillId="6" borderId="6" xfId="4" applyNumberFormat="1" applyFont="1" applyFill="1" applyBorder="1" applyAlignment="1">
      <alignment horizontal="center" vertical="top"/>
    </xf>
    <xf numFmtId="0" fontId="5" fillId="0" borderId="1" xfId="0" applyFont="1" applyFill="1" applyBorder="1" applyAlignment="1">
      <alignment horizontal="center" vertical="top" wrapText="1"/>
    </xf>
    <xf numFmtId="167" fontId="5" fillId="0" borderId="1" xfId="4" applyNumberFormat="1" applyFont="1" applyFill="1" applyBorder="1" applyAlignment="1">
      <alignment horizontal="right" vertical="top" wrapText="1"/>
    </xf>
    <xf numFmtId="167" fontId="5" fillId="0" borderId="11" xfId="4" applyNumberFormat="1" applyFont="1" applyFill="1" applyBorder="1" applyAlignment="1">
      <alignment horizontal="right" vertical="top" wrapText="1"/>
    </xf>
    <xf numFmtId="17" fontId="5" fillId="6" borderId="0" xfId="3" applyNumberFormat="1" applyFont="1" applyFill="1" applyBorder="1" applyAlignment="1">
      <alignment horizontal="center" vertical="top" wrapText="1"/>
    </xf>
    <xf numFmtId="167" fontId="5" fillId="6" borderId="6" xfId="4" applyNumberFormat="1" applyFont="1" applyFill="1" applyBorder="1" applyAlignment="1">
      <alignment horizontal="right" vertical="top" wrapText="1"/>
    </xf>
    <xf numFmtId="167" fontId="5" fillId="0" borderId="0" xfId="4" applyNumberFormat="1" applyFont="1" applyFill="1"/>
    <xf numFmtId="167" fontId="5" fillId="6" borderId="0" xfId="4" applyNumberFormat="1" applyFont="1" applyFill="1"/>
    <xf numFmtId="0" fontId="5" fillId="0" borderId="3" xfId="0" applyFont="1" applyFill="1" applyBorder="1" applyAlignment="1">
      <alignment vertical="top"/>
    </xf>
    <xf numFmtId="0" fontId="5" fillId="0" borderId="3" xfId="0" applyFont="1" applyFill="1" applyBorder="1" applyAlignment="1">
      <alignment horizontal="center" vertical="top"/>
    </xf>
    <xf numFmtId="167" fontId="5" fillId="0" borderId="9" xfId="4" applyNumberFormat="1" applyFont="1" applyFill="1" applyBorder="1" applyAlignment="1">
      <alignment horizontal="right" vertical="top" wrapText="1"/>
    </xf>
    <xf numFmtId="167" fontId="5" fillId="6" borderId="14" xfId="4" quotePrefix="1" applyNumberFormat="1" applyFont="1" applyFill="1" applyBorder="1" applyAlignment="1">
      <alignment horizontal="right" vertical="top" wrapText="1"/>
    </xf>
    <xf numFmtId="0" fontId="6" fillId="6" borderId="8" xfId="0" applyFont="1" applyFill="1" applyBorder="1" applyAlignment="1">
      <alignment vertical="top" wrapText="1"/>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17" fontId="6" fillId="6" borderId="0" xfId="3" applyNumberFormat="1" applyFont="1" applyFill="1" applyBorder="1" applyAlignment="1">
      <alignment horizontal="center" vertical="top" wrapText="1"/>
    </xf>
    <xf numFmtId="0" fontId="23" fillId="0" borderId="7" xfId="0" applyFont="1" applyFill="1" applyBorder="1" applyAlignment="1"/>
    <xf numFmtId="0" fontId="23" fillId="0" borderId="15" xfId="0" applyFont="1" applyFill="1" applyBorder="1" applyAlignment="1">
      <alignment horizontal="center" vertical="top" wrapText="1"/>
    </xf>
    <xf numFmtId="0" fontId="23" fillId="0" borderId="1" xfId="0" applyFont="1" applyFill="1" applyBorder="1" applyAlignment="1">
      <alignment horizontal="center" vertical="top" wrapText="1"/>
    </xf>
    <xf numFmtId="0" fontId="23" fillId="0" borderId="1" xfId="0" applyFont="1" applyFill="1" applyBorder="1" applyAlignment="1">
      <alignment horizontal="center" vertical="top"/>
    </xf>
    <xf numFmtId="0" fontId="25" fillId="0" borderId="1" xfId="0" applyFont="1" applyFill="1" applyBorder="1" applyAlignment="1">
      <alignment horizontal="center" vertical="top" wrapText="1"/>
    </xf>
    <xf numFmtId="0" fontId="23" fillId="0" borderId="1" xfId="0" applyFont="1" applyFill="1" applyBorder="1" applyAlignment="1">
      <alignment horizontal="center"/>
    </xf>
    <xf numFmtId="0" fontId="25" fillId="0" borderId="11" xfId="0" applyFont="1" applyFill="1" applyBorder="1" applyAlignment="1">
      <alignment horizontal="center" vertical="top" wrapText="1"/>
    </xf>
    <xf numFmtId="167" fontId="23" fillId="0" borderId="7" xfId="4" applyNumberFormat="1" applyFont="1" applyFill="1" applyBorder="1" applyAlignment="1">
      <alignment horizontal="center" vertical="top" wrapText="1"/>
    </xf>
    <xf numFmtId="167" fontId="23" fillId="0" borderId="1" xfId="4" applyNumberFormat="1" applyFont="1" applyFill="1" applyBorder="1" applyAlignment="1">
      <alignment horizontal="center" vertical="top" wrapText="1"/>
    </xf>
    <xf numFmtId="0" fontId="23" fillId="0" borderId="11" xfId="0" applyFont="1" applyFill="1" applyBorder="1" applyAlignment="1">
      <alignment horizontal="center" vertical="top" wrapText="1"/>
    </xf>
    <xf numFmtId="167" fontId="23" fillId="0" borderId="0" xfId="4" applyNumberFormat="1" applyFont="1" applyFill="1" applyBorder="1" applyAlignment="1">
      <alignment horizontal="center" vertical="top" wrapText="1"/>
    </xf>
    <xf numFmtId="0" fontId="23" fillId="0" borderId="6" xfId="0" applyFont="1" applyFill="1" applyBorder="1" applyAlignment="1">
      <alignment horizontal="center" vertical="top" wrapText="1"/>
    </xf>
    <xf numFmtId="17" fontId="6" fillId="6" borderId="1" xfId="3" applyNumberFormat="1" applyFont="1" applyFill="1" applyBorder="1" applyAlignment="1">
      <alignment horizontal="center" vertical="top" wrapText="1"/>
    </xf>
    <xf numFmtId="167" fontId="25" fillId="4" borderId="10" xfId="4" quotePrefix="1" applyNumberFormat="1" applyFont="1" applyFill="1" applyBorder="1" applyAlignment="1">
      <alignment horizontal="center" vertical="top"/>
    </xf>
    <xf numFmtId="167" fontId="25" fillId="4" borderId="3" xfId="4" quotePrefix="1" applyNumberFormat="1" applyFont="1" applyFill="1" applyBorder="1" applyAlignment="1">
      <alignment horizontal="center" vertical="top"/>
    </xf>
    <xf numFmtId="167" fontId="25" fillId="4" borderId="9" xfId="4" quotePrefix="1" applyNumberFormat="1" applyFont="1" applyFill="1" applyBorder="1" applyAlignment="1">
      <alignment horizontal="center" vertical="top"/>
    </xf>
    <xf numFmtId="0" fontId="5" fillId="6" borderId="0" xfId="0" quotePrefix="1" applyFont="1" applyFill="1" applyBorder="1" applyAlignment="1">
      <alignment horizontal="center" vertical="top" wrapText="1"/>
    </xf>
    <xf numFmtId="167" fontId="6" fillId="6" borderId="8" xfId="4" applyNumberFormat="1" applyFont="1" applyFill="1" applyBorder="1" applyAlignment="1">
      <alignment horizontal="center" vertical="top"/>
    </xf>
    <xf numFmtId="167" fontId="5" fillId="6" borderId="0" xfId="4" applyNumberFormat="1" applyFont="1" applyFill="1" applyBorder="1"/>
    <xf numFmtId="167" fontId="6" fillId="6" borderId="6" xfId="4" applyNumberFormat="1" applyFont="1" applyFill="1" applyBorder="1" applyAlignment="1">
      <alignment horizontal="center" vertical="top"/>
    </xf>
    <xf numFmtId="17" fontId="5" fillId="6" borderId="1" xfId="3" applyNumberFormat="1" applyFont="1" applyFill="1" applyBorder="1" applyAlignment="1">
      <alignment horizontal="center" vertical="top" wrapText="1"/>
    </xf>
    <xf numFmtId="167" fontId="5" fillId="6" borderId="11" xfId="4" applyNumberFormat="1" applyFont="1" applyFill="1" applyBorder="1" applyAlignment="1">
      <alignment horizontal="right" vertical="top" wrapText="1"/>
    </xf>
    <xf numFmtId="0" fontId="6" fillId="6" borderId="15" xfId="3" applyFont="1" applyFill="1" applyBorder="1" applyAlignment="1">
      <alignment vertical="top" wrapText="1"/>
    </xf>
    <xf numFmtId="0" fontId="5" fillId="6" borderId="1" xfId="3" applyFont="1" applyFill="1" applyBorder="1" applyAlignment="1">
      <alignment horizontal="center" vertical="top"/>
    </xf>
    <xf numFmtId="1" fontId="5" fillId="6" borderId="1" xfId="3" applyNumberFormat="1" applyFont="1" applyFill="1" applyBorder="1" applyAlignment="1">
      <alignment horizontal="center" vertical="top"/>
    </xf>
    <xf numFmtId="3" fontId="5" fillId="6" borderId="1" xfId="3" applyNumberFormat="1" applyFont="1" applyFill="1" applyBorder="1" applyAlignment="1">
      <alignment horizontal="center" vertical="top"/>
    </xf>
    <xf numFmtId="167" fontId="6" fillId="6" borderId="1" xfId="4" applyNumberFormat="1" applyFont="1" applyFill="1" applyBorder="1" applyAlignment="1">
      <alignment horizontal="right" vertical="top" wrapText="1"/>
    </xf>
    <xf numFmtId="167" fontId="6" fillId="6" borderId="11" xfId="4" applyNumberFormat="1" applyFont="1" applyFill="1" applyBorder="1" applyAlignment="1">
      <alignment horizontal="center" vertical="top"/>
    </xf>
    <xf numFmtId="167" fontId="6" fillId="6" borderId="7" xfId="4" applyNumberFormat="1" applyFont="1" applyFill="1" applyBorder="1" applyAlignment="1">
      <alignment horizontal="center" vertical="top"/>
    </xf>
    <xf numFmtId="1" fontId="5" fillId="0" borderId="1" xfId="2" applyNumberFormat="1" applyFont="1" applyFill="1" applyBorder="1" applyAlignment="1">
      <alignment horizontal="center" vertical="top"/>
    </xf>
    <xf numFmtId="3" fontId="5" fillId="0" borderId="1" xfId="2" applyNumberFormat="1" applyFont="1" applyFill="1" applyBorder="1" applyAlignment="1">
      <alignment horizontal="center" vertical="top"/>
    </xf>
    <xf numFmtId="0" fontId="5" fillId="0" borderId="1" xfId="2" applyFont="1" applyFill="1" applyBorder="1" applyAlignment="1">
      <alignment horizontal="center" vertical="top" wrapText="1"/>
    </xf>
    <xf numFmtId="164" fontId="5" fillId="0" borderId="11" xfId="2" applyNumberFormat="1" applyFont="1" applyFill="1" applyBorder="1" applyAlignment="1">
      <alignment horizontal="right" vertical="top" wrapText="1"/>
    </xf>
    <xf numFmtId="167" fontId="5" fillId="0" borderId="15" xfId="4" applyNumberFormat="1" applyFont="1" applyFill="1" applyBorder="1" applyAlignment="1">
      <alignment horizontal="right" vertical="top" wrapText="1"/>
    </xf>
    <xf numFmtId="0" fontId="13" fillId="0" borderId="1" xfId="3" applyFont="1" applyFill="1" applyBorder="1" applyAlignment="1">
      <alignment horizontal="center" vertical="top"/>
    </xf>
    <xf numFmtId="17" fontId="6" fillId="0" borderId="1" xfId="3" applyNumberFormat="1" applyFont="1" applyFill="1" applyBorder="1" applyAlignment="1">
      <alignment horizontal="center" vertical="top" wrapText="1"/>
    </xf>
    <xf numFmtId="0" fontId="6" fillId="0" borderId="0" xfId="0" applyFont="1" applyFill="1" applyBorder="1" applyAlignment="1">
      <alignment vertical="center"/>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167" fontId="6" fillId="6" borderId="0" xfId="4" applyNumberFormat="1" applyFont="1" applyFill="1" applyBorder="1" applyAlignment="1">
      <alignment horizontal="right" vertical="top" wrapText="1"/>
    </xf>
    <xf numFmtId="167" fontId="6" fillId="6" borderId="6" xfId="4" applyNumberFormat="1" applyFont="1" applyFill="1" applyBorder="1" applyAlignment="1">
      <alignment horizontal="right" vertical="top" wrapText="1"/>
    </xf>
    <xf numFmtId="167" fontId="5" fillId="6" borderId="0" xfId="4" quotePrefix="1" applyNumberFormat="1" applyFont="1" applyFill="1" applyBorder="1" applyAlignment="1">
      <alignment horizontal="center" vertical="top"/>
    </xf>
    <xf numFmtId="167" fontId="6" fillId="6" borderId="6" xfId="4" quotePrefix="1" applyNumberFormat="1" applyFont="1" applyFill="1" applyBorder="1" applyAlignment="1">
      <alignment horizontal="center" vertical="top"/>
    </xf>
    <xf numFmtId="167" fontId="5" fillId="6" borderId="8" xfId="4" quotePrefix="1" applyNumberFormat="1" applyFont="1" applyFill="1" applyBorder="1" applyAlignment="1">
      <alignment horizontal="center" vertical="top"/>
    </xf>
    <xf numFmtId="167" fontId="5" fillId="6" borderId="6" xfId="4" quotePrefix="1" applyNumberFormat="1" applyFont="1" applyFill="1" applyBorder="1" applyAlignment="1">
      <alignment horizontal="center" vertical="top"/>
    </xf>
    <xf numFmtId="3" fontId="5" fillId="0" borderId="0" xfId="3" applyNumberFormat="1" applyFont="1" applyFill="1" applyBorder="1" applyAlignment="1">
      <alignment horizontal="right" vertical="top" wrapText="1"/>
    </xf>
    <xf numFmtId="3" fontId="5" fillId="0" borderId="6" xfId="3" applyNumberFormat="1" applyFont="1" applyFill="1" applyBorder="1" applyAlignment="1">
      <alignment horizontal="right" vertical="top" wrapText="1"/>
    </xf>
    <xf numFmtId="0" fontId="6" fillId="6" borderId="14" xfId="0" applyFont="1" applyFill="1" applyBorder="1" applyAlignment="1">
      <alignment vertical="top" wrapText="1"/>
    </xf>
    <xf numFmtId="0" fontId="6" fillId="6" borderId="15" xfId="0" applyFont="1" applyFill="1" applyBorder="1" applyAlignment="1">
      <alignment vertical="top" wrapText="1"/>
    </xf>
    <xf numFmtId="0" fontId="6" fillId="6" borderId="8" xfId="0" applyFont="1" applyFill="1" applyBorder="1" applyAlignment="1">
      <alignment horizontal="left" vertical="top" wrapText="1"/>
    </xf>
    <xf numFmtId="17" fontId="5" fillId="6" borderId="0" xfId="3" quotePrefix="1" applyNumberFormat="1" applyFont="1" applyFill="1" applyBorder="1" applyAlignment="1">
      <alignment horizontal="center" vertical="top" wrapText="1"/>
    </xf>
    <xf numFmtId="17" fontId="6" fillId="6" borderId="0" xfId="3" quotePrefix="1" applyNumberFormat="1" applyFont="1" applyFill="1" applyBorder="1" applyAlignment="1">
      <alignment horizontal="center" vertical="top" wrapText="1"/>
    </xf>
    <xf numFmtId="0" fontId="6" fillId="6" borderId="8" xfId="0" applyFont="1" applyFill="1" applyBorder="1" applyAlignment="1">
      <alignment vertical="top"/>
    </xf>
    <xf numFmtId="0" fontId="23" fillId="0" borderId="14" xfId="0" applyFont="1" applyFill="1" applyBorder="1" applyAlignment="1">
      <alignment horizontal="center" vertical="top"/>
    </xf>
    <xf numFmtId="0" fontId="23" fillId="0" borderId="14" xfId="0" applyFont="1" applyFill="1" applyBorder="1" applyAlignment="1">
      <alignment horizontal="center" vertical="top" wrapText="1"/>
    </xf>
    <xf numFmtId="167" fontId="26" fillId="0" borderId="14" xfId="4" quotePrefix="1" applyNumberFormat="1" applyFont="1" applyFill="1" applyBorder="1" applyAlignment="1">
      <alignment horizontal="center" vertical="top"/>
    </xf>
    <xf numFmtId="167" fontId="12" fillId="0" borderId="14" xfId="4" quotePrefix="1" applyNumberFormat="1" applyFont="1" applyFill="1" applyBorder="1" applyAlignment="1">
      <alignment horizontal="center" vertical="top"/>
    </xf>
    <xf numFmtId="167" fontId="5" fillId="0" borderId="14" xfId="4" applyNumberFormat="1" applyFont="1" applyFill="1" applyBorder="1" applyAlignment="1">
      <alignment horizontal="center" vertical="top"/>
    </xf>
    <xf numFmtId="167" fontId="5" fillId="0" borderId="14" xfId="4" applyNumberFormat="1" applyFont="1" applyFill="1" applyBorder="1" applyAlignment="1">
      <alignment vertical="top"/>
    </xf>
    <xf numFmtId="167" fontId="5" fillId="0" borderId="14" xfId="4" quotePrefix="1" applyNumberFormat="1" applyFont="1" applyFill="1" applyBorder="1" applyAlignment="1">
      <alignment horizontal="center" vertical="top"/>
    </xf>
    <xf numFmtId="167" fontId="5" fillId="0" borderId="15" xfId="4" applyNumberFormat="1" applyFont="1" applyFill="1" applyBorder="1" applyAlignment="1">
      <alignment horizontal="center" vertical="top"/>
    </xf>
    <xf numFmtId="167" fontId="5" fillId="0" borderId="14" xfId="4" applyNumberFormat="1" applyFont="1" applyFill="1" applyBorder="1"/>
    <xf numFmtId="167" fontId="25" fillId="0" borderId="14" xfId="4" quotePrefix="1" applyNumberFormat="1" applyFont="1" applyFill="1" applyBorder="1" applyAlignment="1">
      <alignment horizontal="center" vertical="top"/>
    </xf>
    <xf numFmtId="167" fontId="23" fillId="0" borderId="10" xfId="4" applyNumberFormat="1" applyFont="1" applyFill="1" applyBorder="1" applyAlignment="1">
      <alignment horizontal="center" vertical="top" wrapText="1"/>
    </xf>
    <xf numFmtId="0" fontId="5" fillId="0" borderId="15" xfId="0" applyFont="1" applyFill="1" applyBorder="1" applyAlignment="1">
      <alignment horizontal="right" vertical="top" wrapText="1"/>
    </xf>
    <xf numFmtId="167" fontId="5" fillId="0" borderId="1" xfId="4" quotePrefix="1" applyNumberFormat="1" applyFont="1" applyFill="1" applyBorder="1" applyAlignment="1">
      <alignment horizontal="right" vertical="top" wrapText="1"/>
    </xf>
    <xf numFmtId="167" fontId="29" fillId="4" borderId="12" xfId="4" quotePrefix="1" applyNumberFormat="1" applyFont="1" applyFill="1" applyBorder="1" applyAlignment="1">
      <alignment horizontal="right" vertical="top"/>
    </xf>
    <xf numFmtId="0" fontId="5" fillId="0" borderId="3" xfId="0" applyFont="1" applyFill="1" applyBorder="1" applyAlignment="1">
      <alignment horizontal="right" vertical="top"/>
    </xf>
    <xf numFmtId="0" fontId="5" fillId="0" borderId="7" xfId="2" applyFont="1" applyFill="1" applyBorder="1" applyAlignment="1">
      <alignment vertical="top" wrapText="1"/>
    </xf>
    <xf numFmtId="0" fontId="6" fillId="0" borderId="8" xfId="0" applyFont="1" applyFill="1" applyBorder="1" applyAlignment="1">
      <alignment vertical="top"/>
    </xf>
    <xf numFmtId="0" fontId="5" fillId="0" borderId="1" xfId="3" applyFont="1" applyFill="1" applyBorder="1" applyAlignment="1">
      <alignment vertical="top" wrapText="1"/>
    </xf>
    <xf numFmtId="0" fontId="5" fillId="0" borderId="1" xfId="3" applyFont="1" applyFill="1" applyBorder="1" applyAlignment="1">
      <alignment horizontal="center" vertical="top"/>
    </xf>
    <xf numFmtId="167" fontId="26" fillId="0" borderId="0" xfId="4" quotePrefix="1" applyNumberFormat="1" applyFont="1" applyFill="1" applyBorder="1" applyAlignment="1">
      <alignment horizontal="center" vertical="top"/>
    </xf>
    <xf numFmtId="167" fontId="5" fillId="0" borderId="1" xfId="4" applyNumberFormat="1" applyFont="1" applyFill="1" applyBorder="1" applyAlignment="1">
      <alignment horizontal="center" vertical="top"/>
    </xf>
    <xf numFmtId="167" fontId="5" fillId="0" borderId="7" xfId="4" applyNumberFormat="1" applyFont="1" applyFill="1" applyBorder="1" applyAlignment="1">
      <alignment horizontal="center" vertical="top"/>
    </xf>
    <xf numFmtId="167" fontId="5" fillId="0" borderId="11" xfId="4" applyNumberFormat="1" applyFont="1" applyFill="1" applyBorder="1" applyAlignment="1">
      <alignment horizontal="center" vertical="top"/>
    </xf>
    <xf numFmtId="167" fontId="5" fillId="0" borderId="9" xfId="4" applyNumberFormat="1" applyFont="1" applyFill="1" applyBorder="1" applyAlignment="1">
      <alignment horizontal="center" vertical="top"/>
    </xf>
    <xf numFmtId="167" fontId="6" fillId="0" borderId="0" xfId="4" applyNumberFormat="1" applyFont="1" applyFill="1" applyBorder="1"/>
    <xf numFmtId="0" fontId="6" fillId="0" borderId="8" xfId="0" quotePrefix="1" applyFont="1" applyFill="1" applyBorder="1" applyAlignment="1">
      <alignment horizontal="left" vertical="top" wrapText="1"/>
    </xf>
    <xf numFmtId="167" fontId="6" fillId="0" borderId="0" xfId="4" applyNumberFormat="1" applyFont="1" applyFill="1" applyBorder="1" applyAlignment="1">
      <alignment horizontal="center" vertical="top"/>
    </xf>
    <xf numFmtId="167" fontId="6" fillId="0" borderId="14" xfId="4" quotePrefix="1" applyNumberFormat="1" applyFont="1" applyFill="1" applyBorder="1" applyAlignment="1">
      <alignment horizontal="right" vertical="top" wrapText="1"/>
    </xf>
    <xf numFmtId="0" fontId="6" fillId="0" borderId="0" xfId="0" applyFont="1" applyFill="1" applyBorder="1" applyAlignment="1">
      <alignment horizontal="center" vertical="top" wrapText="1"/>
    </xf>
    <xf numFmtId="167" fontId="6" fillId="0" borderId="6" xfId="4" applyNumberFormat="1" applyFont="1" applyFill="1" applyBorder="1" applyAlignment="1">
      <alignment horizontal="right" vertical="top" wrapText="1"/>
    </xf>
    <xf numFmtId="167" fontId="5" fillId="0" borderId="7" xfId="4" quotePrefix="1" applyNumberFormat="1" applyFont="1" applyFill="1" applyBorder="1" applyAlignment="1">
      <alignment horizontal="center" vertical="top"/>
    </xf>
    <xf numFmtId="167" fontId="5" fillId="0" borderId="1" xfId="4" quotePrefix="1" applyNumberFormat="1" applyFont="1" applyFill="1" applyBorder="1" applyAlignment="1">
      <alignment horizontal="center" vertical="top"/>
    </xf>
    <xf numFmtId="167" fontId="5" fillId="0" borderId="11" xfId="4" quotePrefix="1" applyNumberFormat="1" applyFont="1" applyFill="1" applyBorder="1" applyAlignment="1">
      <alignment horizontal="center" vertical="top"/>
    </xf>
    <xf numFmtId="3" fontId="5" fillId="0" borderId="9" xfId="0" applyNumberFormat="1" applyFont="1" applyFill="1" applyBorder="1" applyAlignment="1">
      <alignment horizontal="right" vertical="top" wrapText="1"/>
    </xf>
    <xf numFmtId="0" fontId="5" fillId="0" borderId="0" xfId="0" quotePrefix="1" applyFont="1" applyFill="1" applyBorder="1" applyAlignment="1">
      <alignment horizontal="center" vertical="top" wrapText="1"/>
    </xf>
    <xf numFmtId="0" fontId="5" fillId="0" borderId="8" xfId="0" applyFont="1" applyFill="1" applyBorder="1" applyAlignment="1">
      <alignment vertical="top" wrapText="1"/>
    </xf>
    <xf numFmtId="0" fontId="40" fillId="6" borderId="8" xfId="0" applyFont="1" applyFill="1" applyBorder="1" applyAlignment="1">
      <alignment horizontal="left" vertical="top" wrapText="1"/>
    </xf>
    <xf numFmtId="0" fontId="6" fillId="6" borderId="8" xfId="0" applyFont="1" applyFill="1" applyBorder="1" applyAlignment="1">
      <alignment horizontal="justify" vertical="top" wrapText="1"/>
    </xf>
    <xf numFmtId="167" fontId="6" fillId="0" borderId="0" xfId="4" quotePrefix="1" applyNumberFormat="1" applyFont="1" applyFill="1" applyBorder="1" applyAlignment="1">
      <alignment horizontal="right" vertical="top" wrapText="1"/>
    </xf>
    <xf numFmtId="0" fontId="5" fillId="6" borderId="0" xfId="0" applyFont="1" applyFill="1" applyBorder="1" applyAlignment="1">
      <alignment horizontal="center" vertical="top"/>
    </xf>
    <xf numFmtId="3" fontId="5" fillId="6" borderId="0" xfId="0" applyNumberFormat="1" applyFont="1" applyFill="1" applyBorder="1" applyAlignment="1">
      <alignment horizontal="center" vertical="top"/>
    </xf>
    <xf numFmtId="14" fontId="5" fillId="6" borderId="0" xfId="0" applyNumberFormat="1" applyFont="1" applyFill="1" applyBorder="1" applyAlignment="1">
      <alignment horizontal="center" vertical="top" wrapText="1"/>
    </xf>
    <xf numFmtId="0" fontId="6" fillId="0" borderId="7" xfId="0" applyFont="1" applyFill="1" applyBorder="1" applyAlignment="1">
      <alignment horizontal="justify" vertical="top" wrapText="1"/>
    </xf>
    <xf numFmtId="17" fontId="5" fillId="0" borderId="1" xfId="3" applyNumberFormat="1" applyFont="1" applyFill="1" applyBorder="1" applyAlignment="1">
      <alignment horizontal="center" vertical="top" wrapText="1"/>
    </xf>
    <xf numFmtId="167" fontId="6" fillId="0" borderId="1" xfId="4" applyNumberFormat="1" applyFont="1" applyFill="1" applyBorder="1" applyAlignment="1">
      <alignment horizontal="center" vertical="top"/>
    </xf>
    <xf numFmtId="0" fontId="6" fillId="6" borderId="0" xfId="0" applyFont="1" applyFill="1" applyBorder="1" applyAlignment="1">
      <alignment horizontal="center" vertical="top" wrapText="1"/>
    </xf>
    <xf numFmtId="0" fontId="6" fillId="6" borderId="8" xfId="0" quotePrefix="1" applyFont="1" applyFill="1" applyBorder="1" applyAlignment="1">
      <alignment horizontal="left" vertical="top" wrapText="1"/>
    </xf>
    <xf numFmtId="0" fontId="5" fillId="6" borderId="8" xfId="0" quotePrefix="1" applyFont="1" applyFill="1" applyBorder="1" applyAlignment="1">
      <alignment horizontal="left" vertical="top" wrapText="1"/>
    </xf>
    <xf numFmtId="167" fontId="6" fillId="6" borderId="14" xfId="4" quotePrefix="1" applyNumberFormat="1" applyFont="1" applyFill="1" applyBorder="1" applyAlignment="1">
      <alignment horizontal="right" vertical="top" wrapText="1"/>
    </xf>
    <xf numFmtId="0" fontId="6" fillId="0" borderId="7" xfId="0" applyFont="1" applyFill="1" applyBorder="1" applyAlignment="1">
      <alignment vertical="top"/>
    </xf>
    <xf numFmtId="167" fontId="6" fillId="6" borderId="8" xfId="4" quotePrefix="1" applyNumberFormat="1" applyFont="1" applyFill="1" applyBorder="1" applyAlignment="1">
      <alignment horizontal="center" vertical="top"/>
    </xf>
    <xf numFmtId="167" fontId="6" fillId="6" borderId="0" xfId="4" quotePrefix="1" applyNumberFormat="1" applyFont="1" applyFill="1" applyBorder="1" applyAlignment="1">
      <alignment horizontal="center" vertical="top"/>
    </xf>
    <xf numFmtId="165" fontId="5" fillId="0" borderId="0" xfId="0" quotePrefix="1" applyNumberFormat="1" applyFont="1" applyFill="1" applyAlignment="1">
      <alignment horizontal="left" vertical="center"/>
    </xf>
    <xf numFmtId="167" fontId="6" fillId="6" borderId="1" xfId="4" applyNumberFormat="1" applyFont="1" applyFill="1" applyBorder="1" applyAlignment="1">
      <alignment horizontal="center" vertical="top"/>
    </xf>
    <xf numFmtId="167" fontId="12" fillId="0" borderId="8" xfId="4" quotePrefix="1" applyNumberFormat="1" applyFont="1" applyFill="1" applyBorder="1" applyAlignment="1">
      <alignment horizontal="center" vertical="top"/>
    </xf>
    <xf numFmtId="167" fontId="12" fillId="0" borderId="0" xfId="4" quotePrefix="1" applyNumberFormat="1" applyFont="1" applyFill="1" applyBorder="1" applyAlignment="1">
      <alignment horizontal="center" vertical="top"/>
    </xf>
    <xf numFmtId="167" fontId="12" fillId="0" borderId="6" xfId="4" quotePrefix="1" applyNumberFormat="1" applyFont="1" applyFill="1" applyBorder="1" applyAlignment="1">
      <alignment horizontal="center" vertical="top"/>
    </xf>
    <xf numFmtId="167" fontId="5" fillId="0" borderId="10" xfId="4" applyNumberFormat="1" applyFont="1" applyFill="1" applyBorder="1" applyAlignment="1">
      <alignment vertical="top"/>
    </xf>
    <xf numFmtId="167" fontId="5" fillId="0" borderId="3" xfId="4" applyNumberFormat="1" applyFont="1" applyFill="1" applyBorder="1" applyAlignment="1">
      <alignment vertical="top"/>
    </xf>
    <xf numFmtId="0" fontId="6" fillId="6" borderId="1" xfId="3" applyFont="1" applyFill="1" applyBorder="1" applyAlignment="1">
      <alignment horizontal="center" vertical="top" wrapText="1"/>
    </xf>
    <xf numFmtId="3" fontId="6" fillId="0" borderId="0" xfId="3" applyNumberFormat="1" applyFont="1" applyFill="1" applyBorder="1" applyAlignment="1">
      <alignment horizontal="right" vertical="top" wrapText="1"/>
    </xf>
    <xf numFmtId="0" fontId="6" fillId="0" borderId="0" xfId="0" quotePrefix="1" applyFont="1" applyFill="1" applyAlignment="1">
      <alignment horizontal="left" vertical="center"/>
    </xf>
    <xf numFmtId="0" fontId="6" fillId="0" borderId="0" xfId="0" applyFont="1" applyFill="1" applyAlignment="1">
      <alignment vertical="center"/>
    </xf>
    <xf numFmtId="0" fontId="6" fillId="0" borderId="0" xfId="0" applyFont="1" applyFill="1" applyBorder="1" applyAlignment="1">
      <alignment vertical="center"/>
    </xf>
    <xf numFmtId="0" fontId="23" fillId="3" borderId="10" xfId="0" applyFont="1" applyFill="1" applyBorder="1" applyAlignment="1">
      <alignment horizontal="center" vertical="top"/>
    </xf>
    <xf numFmtId="0" fontId="23" fillId="3" borderId="3" xfId="0" applyFont="1" applyFill="1" applyBorder="1" applyAlignment="1">
      <alignment horizontal="center" vertical="top"/>
    </xf>
    <xf numFmtId="0" fontId="23" fillId="3" borderId="9" xfId="0" applyFont="1" applyFill="1" applyBorder="1" applyAlignment="1">
      <alignment horizontal="center" vertical="top"/>
    </xf>
    <xf numFmtId="0" fontId="23" fillId="3" borderId="8" xfId="0" applyFont="1" applyFill="1" applyBorder="1" applyAlignment="1">
      <alignment horizontal="center" vertical="top"/>
    </xf>
    <xf numFmtId="0" fontId="23" fillId="3" borderId="0" xfId="0" applyFont="1" applyFill="1" applyBorder="1" applyAlignment="1">
      <alignment horizontal="center" vertical="top"/>
    </xf>
    <xf numFmtId="0" fontId="23" fillId="3" borderId="6" xfId="0" applyFont="1" applyFill="1" applyBorder="1" applyAlignment="1">
      <alignment horizontal="center" vertical="top"/>
    </xf>
    <xf numFmtId="0" fontId="5" fillId="0" borderId="0" xfId="0" applyFont="1" applyFill="1" applyBorder="1" applyAlignment="1">
      <alignment horizontal="left" vertical="top" wrapText="1"/>
    </xf>
    <xf numFmtId="0" fontId="8" fillId="0" borderId="0" xfId="0" quotePrefix="1" applyFont="1" applyFill="1" applyBorder="1" applyAlignment="1">
      <alignment horizontal="left" vertical="top" wrapText="1"/>
    </xf>
    <xf numFmtId="0" fontId="5" fillId="0" borderId="0" xfId="0" applyFont="1" applyAlignment="1">
      <alignment horizontal="left" vertical="top" wrapText="1"/>
    </xf>
    <xf numFmtId="0" fontId="11" fillId="0" borderId="2" xfId="2" applyFont="1" applyFill="1" applyBorder="1" applyAlignment="1">
      <alignment horizontal="left" vertical="top" wrapText="1"/>
    </xf>
    <xf numFmtId="0" fontId="8" fillId="0" borderId="0" xfId="0" applyFont="1" applyFill="1" applyBorder="1" applyAlignment="1">
      <alignment horizontal="left" vertical="top" wrapText="1"/>
    </xf>
    <xf numFmtId="0" fontId="5" fillId="0" borderId="0" xfId="0" applyFont="1" applyFill="1" applyAlignment="1">
      <alignment horizontal="left" vertical="top" wrapText="1"/>
    </xf>
    <xf numFmtId="0" fontId="20" fillId="3" borderId="2" xfId="16" applyFont="1" applyFill="1" applyBorder="1" applyAlignment="1">
      <alignment horizontal="center"/>
    </xf>
  </cellXfs>
  <cellStyles count="67">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3 3 2 2" xfId="61"/>
    <cellStyle name="Comma 3 3 3" xfId="53"/>
    <cellStyle name="Comma 4" xfId="7"/>
    <cellStyle name="Comma 4 2" xfId="15"/>
    <cellStyle name="Comma 5" xfId="29"/>
    <cellStyle name="Comma 5 2" xfId="44"/>
    <cellStyle name="Comma 5 2 2" xfId="60"/>
    <cellStyle name="Comma 5 3" xfId="52"/>
    <cellStyle name="Comma 6" xfId="41"/>
    <cellStyle name="Comma 6 2" xfId="50"/>
    <cellStyle name="Comma 6 2 2" xfId="66"/>
    <cellStyle name="Comma 6 3" xfId="58"/>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3 3 2 2" xfId="62"/>
    <cellStyle name="Normal 3 3 3" xfId="54"/>
    <cellStyle name="Normal 4" xfId="12"/>
    <cellStyle name="Normal 5" xfId="21"/>
    <cellStyle name="Normal 5 2" xfId="43"/>
    <cellStyle name="Normal 5 2 2" xfId="59"/>
    <cellStyle name="Normal 5 3" xfId="51"/>
    <cellStyle name="Normal 6" xfId="35"/>
    <cellStyle name="Normal 6 2" xfId="47"/>
    <cellStyle name="Normal 6 2 2" xfId="63"/>
    <cellStyle name="Normal 6 3" xfId="55"/>
    <cellStyle name="Normal 7" xfId="36"/>
    <cellStyle name="Normal 7 2" xfId="48"/>
    <cellStyle name="Normal 7 2 2" xfId="64"/>
    <cellStyle name="Normal 7 3" xfId="56"/>
    <cellStyle name="Normal 8" xfId="40"/>
    <cellStyle name="Normal 8 2" xfId="49"/>
    <cellStyle name="Normal 8 2 2" xfId="65"/>
    <cellStyle name="Normal 8 3" xfId="57"/>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BE5F1"/>
      <color rgb="FF8DCD47"/>
      <color rgb="FFFFFF99"/>
      <color rgb="FFFFCCFF"/>
      <color rgb="FFCCFF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Update</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November 18,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1</xdr:col>
      <xdr:colOff>355787</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view="pageBreakPreview" zoomScale="40" zoomScaleNormal="100" zoomScaleSheetLayoutView="40" zoomScalePageLayoutView="70" workbookViewId="0">
      <selection activeCell="AD11" sqref="AD11"/>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21</v>
      </c>
      <c r="B11" s="7"/>
      <c r="C11" s="56"/>
      <c r="D11" s="7"/>
      <c r="E11" s="7"/>
      <c r="F11" s="7"/>
      <c r="G11" s="7"/>
      <c r="H11" s="7"/>
      <c r="I11" s="7"/>
      <c r="J11" s="7"/>
      <c r="K11" s="7"/>
      <c r="L11" s="7"/>
    </row>
    <row r="12" spans="1:17" ht="409.5" customHeight="1" x14ac:dyDescent="0.35">
      <c r="A12" s="7"/>
      <c r="B12" s="7"/>
      <c r="C12" s="35"/>
      <c r="D12" s="7"/>
      <c r="E12" s="7"/>
      <c r="F12" s="7"/>
      <c r="G12" s="7"/>
      <c r="H12" s="7"/>
      <c r="I12" s="7"/>
      <c r="J12" s="7"/>
      <c r="K12" s="7"/>
      <c r="L12" s="7"/>
      <c r="Q12" s="33"/>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fitToPage="1"/>
  </sheetPr>
  <dimension ref="A1:AT59"/>
  <sheetViews>
    <sheetView tabSelected="1" view="pageBreakPreview" zoomScale="85" zoomScaleNormal="100" zoomScaleSheetLayoutView="85" workbookViewId="0">
      <pane xSplit="1" ySplit="8" topLeftCell="B9" activePane="bottomRight" state="frozen"/>
      <selection pane="topRight" activeCell="B1" sqref="B1"/>
      <selection pane="bottomLeft" activeCell="A9" sqref="A9"/>
      <selection pane="bottomRight" activeCell="C1" sqref="C1"/>
    </sheetView>
  </sheetViews>
  <sheetFormatPr defaultRowHeight="12.75" x14ac:dyDescent="0.2"/>
  <cols>
    <col min="1" max="1" width="25.42578125" style="114" customWidth="1"/>
    <col min="2" max="2" width="12.7109375" style="114" customWidth="1"/>
    <col min="3" max="3" width="11.140625" style="114" customWidth="1"/>
    <col min="4" max="4" width="14.28515625" style="114" customWidth="1"/>
    <col min="5" max="5" width="15.85546875" style="114" customWidth="1"/>
    <col min="6" max="6" width="15.140625" style="114" customWidth="1"/>
    <col min="7" max="7" width="18" style="114" customWidth="1"/>
    <col min="8" max="8" width="12.42578125" style="114" customWidth="1"/>
    <col min="9" max="9" width="15" style="114" customWidth="1"/>
    <col min="10" max="10" width="14.7109375" style="114" customWidth="1"/>
    <col min="11" max="11" width="9.85546875" style="114" customWidth="1"/>
    <col min="12" max="12" width="10.7109375" style="114" customWidth="1"/>
    <col min="13" max="13" width="10.85546875" style="114" customWidth="1"/>
    <col min="14" max="14" width="2.7109375" style="117" customWidth="1"/>
    <col min="15" max="18" width="8" style="114" customWidth="1"/>
    <col min="19" max="19" width="2.42578125" style="117" customWidth="1"/>
    <col min="20" max="23" width="8" style="114" customWidth="1"/>
    <col min="24" max="24" width="9.140625" style="114"/>
    <col min="25" max="31" width="9.140625" style="114" customWidth="1"/>
    <col min="32" max="16384" width="9.140625" style="114"/>
  </cols>
  <sheetData>
    <row r="1" spans="1:37" ht="41.25" customHeight="1" x14ac:dyDescent="0.2">
      <c r="C1" s="35"/>
      <c r="E1" s="36"/>
      <c r="F1" s="36"/>
      <c r="H1" s="118"/>
    </row>
    <row r="2" spans="1:37" ht="13.5" customHeight="1" x14ac:dyDescent="0.2">
      <c r="A2" s="316" t="s">
        <v>120</v>
      </c>
      <c r="B2" s="95"/>
      <c r="C2" s="94"/>
      <c r="K2" s="37"/>
      <c r="L2" s="37"/>
    </row>
    <row r="3" spans="1:37" ht="16.5" customHeight="1" x14ac:dyDescent="0.2">
      <c r="A3" s="325" t="s">
        <v>80</v>
      </c>
      <c r="B3" s="325"/>
      <c r="C3" s="326"/>
      <c r="D3" s="326"/>
      <c r="E3" s="326"/>
      <c r="F3" s="326"/>
      <c r="G3" s="326"/>
      <c r="H3" s="326"/>
      <c r="I3" s="326"/>
      <c r="J3" s="326"/>
      <c r="K3" s="326"/>
      <c r="L3" s="326"/>
      <c r="M3" s="326"/>
      <c r="N3" s="246"/>
    </row>
    <row r="4" spans="1:37" x14ac:dyDescent="0.2">
      <c r="A4" s="327" t="s">
        <v>40</v>
      </c>
      <c r="B4" s="327"/>
      <c r="C4" s="327"/>
      <c r="D4" s="327"/>
      <c r="E4" s="327"/>
      <c r="F4" s="327"/>
      <c r="G4" s="327"/>
      <c r="H4" s="327"/>
      <c r="I4" s="327"/>
      <c r="J4" s="327"/>
      <c r="K4" s="327"/>
      <c r="L4" s="327"/>
      <c r="M4" s="327"/>
      <c r="N4" s="246"/>
    </row>
    <row r="5" spans="1:37" s="117" customFormat="1" ht="15.75" x14ac:dyDescent="0.25">
      <c r="A5" s="38"/>
      <c r="B5" s="53"/>
      <c r="C5" s="79"/>
      <c r="D5" s="40"/>
      <c r="E5" s="41"/>
      <c r="F5" s="42"/>
      <c r="G5" s="42"/>
      <c r="H5" s="43"/>
      <c r="I5" s="43"/>
      <c r="J5" s="42"/>
      <c r="K5" s="42"/>
      <c r="L5" s="42" t="s">
        <v>39</v>
      </c>
      <c r="M5" s="87" t="s">
        <v>39</v>
      </c>
      <c r="N5" s="91"/>
      <c r="O5" s="328" t="s">
        <v>90</v>
      </c>
      <c r="P5" s="329"/>
      <c r="Q5" s="329"/>
      <c r="R5" s="330"/>
      <c r="S5" s="264"/>
      <c r="T5" s="328" t="s">
        <v>90</v>
      </c>
      <c r="U5" s="329"/>
      <c r="V5" s="329"/>
      <c r="W5" s="330"/>
    </row>
    <row r="6" spans="1:37" s="117" customFormat="1" ht="15.75" x14ac:dyDescent="0.25">
      <c r="A6" s="106"/>
      <c r="B6" s="107"/>
      <c r="C6" s="108"/>
      <c r="D6" s="109"/>
      <c r="E6" s="110" t="s">
        <v>63</v>
      </c>
      <c r="F6" s="45" t="s">
        <v>9</v>
      </c>
      <c r="G6" s="45" t="s">
        <v>59</v>
      </c>
      <c r="H6" s="44"/>
      <c r="I6" s="44"/>
      <c r="J6" s="45" t="s">
        <v>29</v>
      </c>
      <c r="K6" s="45" t="s">
        <v>29</v>
      </c>
      <c r="L6" s="45" t="s">
        <v>94</v>
      </c>
      <c r="M6" s="111" t="s">
        <v>96</v>
      </c>
      <c r="N6" s="91"/>
      <c r="O6" s="247"/>
      <c r="P6" s="248"/>
      <c r="Q6" s="248"/>
      <c r="R6" s="249"/>
      <c r="S6" s="264"/>
      <c r="T6" s="247"/>
      <c r="U6" s="248"/>
      <c r="V6" s="248"/>
      <c r="W6" s="249"/>
    </row>
    <row r="7" spans="1:37" s="117" customFormat="1" ht="14.25" customHeight="1" x14ac:dyDescent="0.2">
      <c r="A7" s="39"/>
      <c r="B7" s="54" t="s">
        <v>67</v>
      </c>
      <c r="C7" s="207" t="s">
        <v>24</v>
      </c>
      <c r="D7" s="208" t="s">
        <v>60</v>
      </c>
      <c r="E7" s="208" t="s">
        <v>28</v>
      </c>
      <c r="F7" s="208" t="s">
        <v>10</v>
      </c>
      <c r="G7" s="208" t="s">
        <v>10</v>
      </c>
      <c r="H7" s="44"/>
      <c r="I7" s="44"/>
      <c r="J7" s="45" t="s">
        <v>61</v>
      </c>
      <c r="K7" s="45" t="s">
        <v>65</v>
      </c>
      <c r="L7" s="50" t="s">
        <v>95</v>
      </c>
      <c r="M7" s="88" t="s">
        <v>95</v>
      </c>
      <c r="N7" s="86"/>
      <c r="O7" s="331">
        <v>2014</v>
      </c>
      <c r="P7" s="332"/>
      <c r="Q7" s="332"/>
      <c r="R7" s="333"/>
      <c r="S7" s="264"/>
      <c r="T7" s="331">
        <v>2015</v>
      </c>
      <c r="U7" s="332"/>
      <c r="V7" s="332"/>
      <c r="W7" s="333"/>
    </row>
    <row r="8" spans="1:37" s="117" customFormat="1" ht="13.5" customHeight="1" x14ac:dyDescent="0.2">
      <c r="A8" s="49" t="s">
        <v>8</v>
      </c>
      <c r="B8" s="55" t="s">
        <v>68</v>
      </c>
      <c r="C8" s="80" t="s">
        <v>25</v>
      </c>
      <c r="D8" s="81" t="s">
        <v>62</v>
      </c>
      <c r="E8" s="46" t="s">
        <v>11</v>
      </c>
      <c r="F8" s="47" t="s">
        <v>30</v>
      </c>
      <c r="G8" s="47" t="s">
        <v>30</v>
      </c>
      <c r="H8" s="48" t="s">
        <v>13</v>
      </c>
      <c r="I8" s="48" t="s">
        <v>36</v>
      </c>
      <c r="J8" s="46" t="s">
        <v>64</v>
      </c>
      <c r="K8" s="46" t="s">
        <v>66</v>
      </c>
      <c r="L8" s="47" t="s">
        <v>31</v>
      </c>
      <c r="M8" s="89" t="s">
        <v>31</v>
      </c>
      <c r="N8" s="92"/>
      <c r="O8" s="74" t="s">
        <v>82</v>
      </c>
      <c r="P8" s="51" t="s">
        <v>83</v>
      </c>
      <c r="Q8" s="51" t="s">
        <v>84</v>
      </c>
      <c r="R8" s="52" t="s">
        <v>81</v>
      </c>
      <c r="S8" s="265"/>
      <c r="T8" s="74" t="s">
        <v>82</v>
      </c>
      <c r="U8" s="51" t="s">
        <v>83</v>
      </c>
      <c r="V8" s="51" t="s">
        <v>84</v>
      </c>
      <c r="W8" s="52" t="s">
        <v>81</v>
      </c>
    </row>
    <row r="9" spans="1:37" s="117" customFormat="1" ht="6" customHeight="1" x14ac:dyDescent="0.2">
      <c r="A9" s="210"/>
      <c r="B9" s="211"/>
      <c r="C9" s="212"/>
      <c r="D9" s="213"/>
      <c r="E9" s="212"/>
      <c r="F9" s="214"/>
      <c r="G9" s="214"/>
      <c r="H9" s="215"/>
      <c r="I9" s="215"/>
      <c r="J9" s="212"/>
      <c r="K9" s="212"/>
      <c r="L9" s="214"/>
      <c r="M9" s="216"/>
      <c r="N9" s="92"/>
      <c r="O9" s="217"/>
      <c r="P9" s="218"/>
      <c r="Q9" s="218"/>
      <c r="R9" s="219"/>
      <c r="S9" s="265"/>
      <c r="T9" s="274"/>
      <c r="U9" s="220"/>
      <c r="V9" s="220"/>
      <c r="W9" s="221"/>
    </row>
    <row r="10" spans="1:37" s="5" customFormat="1" ht="15" x14ac:dyDescent="0.2">
      <c r="A10" s="140" t="s">
        <v>69</v>
      </c>
      <c r="B10" s="141"/>
      <c r="C10" s="142"/>
      <c r="D10" s="143"/>
      <c r="E10" s="144"/>
      <c r="F10" s="143"/>
      <c r="G10" s="143"/>
      <c r="H10" s="143"/>
      <c r="I10" s="143"/>
      <c r="J10" s="162"/>
      <c r="K10" s="162"/>
      <c r="L10" s="166"/>
      <c r="M10" s="167"/>
      <c r="N10" s="160"/>
      <c r="O10" s="145"/>
      <c r="P10" s="128"/>
      <c r="Q10" s="128"/>
      <c r="R10" s="129"/>
      <c r="S10" s="266"/>
      <c r="T10" s="185"/>
      <c r="U10" s="184"/>
      <c r="V10" s="184"/>
      <c r="W10" s="186"/>
      <c r="AF10" s="4"/>
      <c r="AH10" s="4"/>
      <c r="AI10" s="4"/>
      <c r="AJ10" s="4"/>
      <c r="AK10" s="4"/>
    </row>
    <row r="11" spans="1:37" s="5" customFormat="1" ht="6" customHeight="1" x14ac:dyDescent="0.2">
      <c r="A11" s="152"/>
      <c r="B11" s="153"/>
      <c r="C11" s="154"/>
      <c r="D11" s="154"/>
      <c r="E11" s="154"/>
      <c r="F11" s="154"/>
      <c r="G11" s="154"/>
      <c r="H11" s="154"/>
      <c r="I11" s="154"/>
      <c r="J11" s="163"/>
      <c r="K11" s="163"/>
      <c r="L11" s="168"/>
      <c r="M11" s="169"/>
      <c r="N11" s="161"/>
      <c r="O11" s="318"/>
      <c r="P11" s="319"/>
      <c r="Q11" s="319"/>
      <c r="R11" s="320"/>
      <c r="S11" s="267"/>
      <c r="T11" s="318"/>
      <c r="U11" s="319"/>
      <c r="V11" s="319"/>
      <c r="W11" s="320"/>
    </row>
    <row r="12" spans="1:37" s="84" customFormat="1" ht="15" customHeight="1" x14ac:dyDescent="0.2">
      <c r="A12" s="206" t="s">
        <v>116</v>
      </c>
      <c r="B12" s="205" t="s">
        <v>117</v>
      </c>
      <c r="C12" s="188" t="s">
        <v>22</v>
      </c>
      <c r="D12" s="189" t="s">
        <v>27</v>
      </c>
      <c r="E12" s="226">
        <v>2009</v>
      </c>
      <c r="F12" s="190">
        <v>12000</v>
      </c>
      <c r="G12" s="190">
        <v>40000</v>
      </c>
      <c r="H12" s="188" t="s">
        <v>14</v>
      </c>
      <c r="I12" s="188" t="s">
        <v>26</v>
      </c>
      <c r="J12" s="198">
        <v>41883</v>
      </c>
      <c r="K12" s="198">
        <v>43313</v>
      </c>
      <c r="L12" s="191">
        <v>590000</v>
      </c>
      <c r="M12" s="199">
        <v>569000</v>
      </c>
      <c r="N12" s="126"/>
      <c r="O12" s="192">
        <v>0</v>
      </c>
      <c r="P12" s="193">
        <v>0</v>
      </c>
      <c r="Q12" s="193">
        <v>0</v>
      </c>
      <c r="R12" s="229">
        <v>18</v>
      </c>
      <c r="S12" s="268"/>
      <c r="T12" s="192">
        <v>0</v>
      </c>
      <c r="U12" s="193">
        <v>0</v>
      </c>
      <c r="V12" s="193">
        <v>0</v>
      </c>
      <c r="W12" s="194">
        <v>0</v>
      </c>
      <c r="AF12" s="228"/>
      <c r="AG12" s="228"/>
      <c r="AH12" s="228"/>
      <c r="AI12" s="228"/>
      <c r="AJ12" s="228"/>
      <c r="AK12" s="228"/>
    </row>
    <row r="13" spans="1:37" s="84" customFormat="1" ht="15" customHeight="1" x14ac:dyDescent="0.2">
      <c r="A13" s="182" t="s">
        <v>70</v>
      </c>
      <c r="B13" s="159" t="s">
        <v>102</v>
      </c>
      <c r="C13" s="120" t="s">
        <v>22</v>
      </c>
      <c r="D13" s="131" t="s">
        <v>27</v>
      </c>
      <c r="E13" s="298">
        <v>2010</v>
      </c>
      <c r="F13" s="122">
        <v>12000</v>
      </c>
      <c r="G13" s="122">
        <v>40000</v>
      </c>
      <c r="H13" s="120" t="s">
        <v>14</v>
      </c>
      <c r="I13" s="120" t="s">
        <v>26</v>
      </c>
      <c r="J13" s="179">
        <v>40210</v>
      </c>
      <c r="K13" s="179">
        <v>42090</v>
      </c>
      <c r="L13" s="181">
        <v>523000</v>
      </c>
      <c r="M13" s="127">
        <v>494000</v>
      </c>
      <c r="N13" s="126"/>
      <c r="O13" s="174">
        <v>0</v>
      </c>
      <c r="P13" s="116">
        <v>0</v>
      </c>
      <c r="Q13" s="116">
        <v>0</v>
      </c>
      <c r="R13" s="178">
        <v>0</v>
      </c>
      <c r="S13" s="268"/>
      <c r="T13" s="75">
        <v>4</v>
      </c>
      <c r="U13" s="290">
        <v>17</v>
      </c>
      <c r="V13" s="116">
        <v>0</v>
      </c>
      <c r="W13" s="178">
        <v>0</v>
      </c>
      <c r="AF13" s="228"/>
      <c r="AG13" s="228"/>
      <c r="AH13" s="228"/>
      <c r="AI13" s="228"/>
      <c r="AJ13" s="228"/>
      <c r="AK13" s="228"/>
    </row>
    <row r="14" spans="1:37" s="84" customFormat="1" ht="15" customHeight="1" x14ac:dyDescent="0.2">
      <c r="A14" s="299"/>
      <c r="B14" s="139" t="s">
        <v>103</v>
      </c>
      <c r="C14" s="120"/>
      <c r="D14" s="131"/>
      <c r="E14" s="298"/>
      <c r="F14" s="122"/>
      <c r="G14" s="122"/>
      <c r="H14" s="120" t="s">
        <v>14</v>
      </c>
      <c r="I14" s="120" t="s">
        <v>26</v>
      </c>
      <c r="J14" s="179">
        <v>42093</v>
      </c>
      <c r="K14" s="179">
        <v>43921</v>
      </c>
      <c r="L14" s="126">
        <v>585000</v>
      </c>
      <c r="M14" s="293">
        <v>523000</v>
      </c>
      <c r="N14" s="126"/>
      <c r="O14" s="174"/>
      <c r="P14" s="116"/>
      <c r="Q14" s="116"/>
      <c r="R14" s="178"/>
      <c r="S14" s="268"/>
      <c r="T14" s="174"/>
      <c r="U14" s="116"/>
      <c r="V14" s="116"/>
      <c r="W14" s="178"/>
      <c r="AF14" s="228"/>
      <c r="AG14" s="228"/>
      <c r="AH14" s="228"/>
      <c r="AI14" s="228"/>
      <c r="AJ14" s="228"/>
      <c r="AK14" s="228"/>
    </row>
    <row r="15" spans="1:37" ht="15" customHeight="1" x14ac:dyDescent="0.2">
      <c r="A15" s="260" t="s">
        <v>71</v>
      </c>
      <c r="B15" s="187"/>
      <c r="C15" s="188" t="s">
        <v>22</v>
      </c>
      <c r="D15" s="189" t="s">
        <v>27</v>
      </c>
      <c r="E15" s="188">
        <v>1999</v>
      </c>
      <c r="F15" s="190">
        <v>10000</v>
      </c>
      <c r="G15" s="190">
        <v>35000</v>
      </c>
      <c r="H15" s="261" t="s">
        <v>14</v>
      </c>
      <c r="I15" s="188" t="s">
        <v>20</v>
      </c>
      <c r="J15" s="261">
        <v>41670</v>
      </c>
      <c r="K15" s="262">
        <v>42035</v>
      </c>
      <c r="L15" s="191">
        <v>615000</v>
      </c>
      <c r="M15" s="199">
        <v>515000</v>
      </c>
      <c r="N15" s="126"/>
      <c r="O15" s="192">
        <v>0</v>
      </c>
      <c r="P15" s="193">
        <v>0</v>
      </c>
      <c r="Q15" s="193">
        <v>0</v>
      </c>
      <c r="R15" s="194">
        <v>0</v>
      </c>
      <c r="S15" s="268"/>
      <c r="T15" s="192">
        <v>0</v>
      </c>
      <c r="U15" s="193">
        <v>0</v>
      </c>
      <c r="V15" s="193">
        <v>0</v>
      </c>
      <c r="W15" s="194">
        <v>0</v>
      </c>
      <c r="AF15" s="200"/>
      <c r="AG15" s="200"/>
      <c r="AH15" s="200"/>
      <c r="AI15" s="200"/>
      <c r="AJ15" s="200"/>
      <c r="AK15" s="200"/>
    </row>
    <row r="16" spans="1:37" ht="15" customHeight="1" x14ac:dyDescent="0.2">
      <c r="A16" s="300"/>
      <c r="B16" s="187"/>
      <c r="C16" s="188"/>
      <c r="D16" s="189"/>
      <c r="E16" s="188"/>
      <c r="F16" s="190"/>
      <c r="G16" s="190"/>
      <c r="H16" s="262" t="s">
        <v>14</v>
      </c>
      <c r="I16" s="309" t="s">
        <v>20</v>
      </c>
      <c r="J16" s="262">
        <f>+K15</f>
        <v>42035</v>
      </c>
      <c r="K16" s="262">
        <v>42124</v>
      </c>
      <c r="L16" s="250">
        <v>399000</v>
      </c>
      <c r="M16" s="199">
        <v>615000</v>
      </c>
      <c r="N16" s="126"/>
      <c r="O16" s="192"/>
      <c r="P16" s="193"/>
      <c r="Q16" s="193"/>
      <c r="R16" s="194"/>
      <c r="S16" s="268"/>
      <c r="T16" s="192"/>
      <c r="U16" s="193"/>
      <c r="V16" s="193"/>
      <c r="W16" s="194"/>
      <c r="AF16" s="200"/>
      <c r="AG16" s="200"/>
      <c r="AH16" s="200"/>
      <c r="AI16" s="200"/>
      <c r="AJ16" s="200"/>
      <c r="AK16" s="200"/>
    </row>
    <row r="17" spans="1:46" ht="15" customHeight="1" x14ac:dyDescent="0.2">
      <c r="A17" s="289" t="s">
        <v>72</v>
      </c>
      <c r="B17" s="159"/>
      <c r="C17" s="120" t="s">
        <v>22</v>
      </c>
      <c r="D17" s="131" t="s">
        <v>27</v>
      </c>
      <c r="E17" s="120">
        <v>2000</v>
      </c>
      <c r="F17" s="122">
        <v>10000</v>
      </c>
      <c r="G17" s="122">
        <v>30000</v>
      </c>
      <c r="H17" s="120"/>
      <c r="I17" s="120"/>
      <c r="J17" s="179"/>
      <c r="K17" s="183" t="s">
        <v>91</v>
      </c>
      <c r="L17" s="180"/>
      <c r="M17" s="127"/>
      <c r="N17" s="126"/>
      <c r="O17" s="174">
        <v>0</v>
      </c>
      <c r="P17" s="116">
        <v>0</v>
      </c>
      <c r="Q17" s="116">
        <v>0</v>
      </c>
      <c r="R17" s="178">
        <v>0</v>
      </c>
      <c r="S17" s="268"/>
      <c r="T17" s="174">
        <v>0</v>
      </c>
      <c r="U17" s="290">
        <v>0</v>
      </c>
      <c r="V17" s="290">
        <v>0</v>
      </c>
      <c r="W17" s="83">
        <v>0</v>
      </c>
      <c r="AF17" s="200"/>
      <c r="AG17" s="200"/>
      <c r="AH17" s="200"/>
      <c r="AI17" s="200"/>
      <c r="AJ17" s="200"/>
      <c r="AK17" s="200"/>
    </row>
    <row r="18" spans="1:46" s="85" customFormat="1" ht="15" customHeight="1" x14ac:dyDescent="0.2">
      <c r="A18" s="301" t="s">
        <v>73</v>
      </c>
      <c r="B18" s="187">
        <v>-6</v>
      </c>
      <c r="C18" s="188" t="s">
        <v>22</v>
      </c>
      <c r="D18" s="189" t="s">
        <v>27</v>
      </c>
      <c r="E18" s="188">
        <v>1998</v>
      </c>
      <c r="F18" s="190">
        <v>10000</v>
      </c>
      <c r="G18" s="190">
        <v>30000</v>
      </c>
      <c r="H18" s="188" t="s">
        <v>14</v>
      </c>
      <c r="I18" s="188" t="s">
        <v>57</v>
      </c>
      <c r="J18" s="198">
        <v>40391</v>
      </c>
      <c r="K18" s="198">
        <v>42095</v>
      </c>
      <c r="L18" s="191">
        <v>681000</v>
      </c>
      <c r="M18" s="199">
        <v>550000</v>
      </c>
      <c r="N18" s="126"/>
      <c r="O18" s="192">
        <v>0</v>
      </c>
      <c r="P18" s="193">
        <v>0</v>
      </c>
      <c r="Q18" s="193">
        <v>0</v>
      </c>
      <c r="R18" s="229">
        <v>0</v>
      </c>
      <c r="S18" s="268"/>
      <c r="T18" s="227">
        <v>0</v>
      </c>
      <c r="U18" s="193">
        <v>0</v>
      </c>
      <c r="V18" s="193">
        <v>0</v>
      </c>
      <c r="W18" s="194">
        <v>0</v>
      </c>
      <c r="AF18" s="201"/>
      <c r="AG18" s="201"/>
      <c r="AH18" s="201"/>
      <c r="AI18" s="201"/>
      <c r="AJ18" s="201"/>
      <c r="AK18" s="201"/>
    </row>
    <row r="19" spans="1:46" s="85" customFormat="1" ht="15" customHeight="1" x14ac:dyDescent="0.2">
      <c r="A19" s="280" t="s">
        <v>74</v>
      </c>
      <c r="B19" s="291">
        <v>-8</v>
      </c>
      <c r="C19" s="120" t="s">
        <v>23</v>
      </c>
      <c r="D19" s="131" t="s">
        <v>27</v>
      </c>
      <c r="E19" s="120">
        <v>2001</v>
      </c>
      <c r="F19" s="122">
        <v>8500</v>
      </c>
      <c r="G19" s="122">
        <v>35000</v>
      </c>
      <c r="H19" s="292" t="s">
        <v>99</v>
      </c>
      <c r="I19" s="292" t="s">
        <v>89</v>
      </c>
      <c r="J19" s="183">
        <v>41934</v>
      </c>
      <c r="K19" s="183">
        <v>41957</v>
      </c>
      <c r="L19" s="302">
        <v>487000</v>
      </c>
      <c r="M19" s="127">
        <v>596000</v>
      </c>
      <c r="N19" s="126"/>
      <c r="O19" s="174">
        <v>0</v>
      </c>
      <c r="P19" s="116">
        <v>0</v>
      </c>
      <c r="Q19" s="116">
        <v>0</v>
      </c>
      <c r="R19" s="178">
        <v>32</v>
      </c>
      <c r="S19" s="268"/>
      <c r="T19" s="174">
        <v>0</v>
      </c>
      <c r="U19" s="116">
        <v>0</v>
      </c>
      <c r="V19" s="116">
        <v>0</v>
      </c>
      <c r="W19" s="178">
        <v>0</v>
      </c>
      <c r="AF19" s="201"/>
      <c r="AG19" s="201"/>
      <c r="AH19" s="201"/>
      <c r="AI19" s="201"/>
      <c r="AJ19" s="201"/>
      <c r="AK19" s="201"/>
    </row>
    <row r="20" spans="1:46" s="85" customFormat="1" ht="15" customHeight="1" x14ac:dyDescent="0.2">
      <c r="A20" s="280"/>
      <c r="B20" s="291"/>
      <c r="C20" s="120"/>
      <c r="D20" s="131"/>
      <c r="E20" s="120"/>
      <c r="F20" s="122"/>
      <c r="G20" s="122"/>
      <c r="H20" s="120" t="s">
        <v>93</v>
      </c>
      <c r="I20" s="120" t="s">
        <v>92</v>
      </c>
      <c r="J20" s="183">
        <v>41987</v>
      </c>
      <c r="K20" s="183">
        <v>42339</v>
      </c>
      <c r="L20" s="180">
        <v>495000</v>
      </c>
      <c r="M20" s="293">
        <v>487000</v>
      </c>
      <c r="N20" s="126"/>
      <c r="O20" s="174"/>
      <c r="P20" s="116"/>
      <c r="Q20" s="116"/>
      <c r="R20" s="178"/>
      <c r="S20" s="268"/>
      <c r="T20" s="174"/>
      <c r="U20" s="116"/>
      <c r="V20" s="116"/>
      <c r="W20" s="178"/>
      <c r="AF20" s="201"/>
      <c r="AG20" s="201"/>
      <c r="AH20" s="201"/>
      <c r="AI20" s="201"/>
      <c r="AJ20" s="201"/>
      <c r="AK20" s="201"/>
    </row>
    <row r="21" spans="1:46" ht="15" customHeight="1" x14ac:dyDescent="0.2">
      <c r="A21" s="263" t="s">
        <v>105</v>
      </c>
      <c r="B21" s="205"/>
      <c r="C21" s="303" t="s">
        <v>22</v>
      </c>
      <c r="D21" s="189" t="s">
        <v>27</v>
      </c>
      <c r="E21" s="303" t="s">
        <v>106</v>
      </c>
      <c r="F21" s="190">
        <v>7800</v>
      </c>
      <c r="G21" s="304">
        <v>30000</v>
      </c>
      <c r="H21" s="188" t="s">
        <v>18</v>
      </c>
      <c r="I21" s="305" t="s">
        <v>19</v>
      </c>
      <c r="J21" s="198">
        <v>41456</v>
      </c>
      <c r="K21" s="209">
        <v>41957</v>
      </c>
      <c r="L21" s="191">
        <v>412000</v>
      </c>
      <c r="M21" s="199" t="s">
        <v>107</v>
      </c>
      <c r="N21" s="126"/>
      <c r="O21" s="192">
        <v>0</v>
      </c>
      <c r="P21" s="193">
        <v>0</v>
      </c>
      <c r="Q21" s="193">
        <v>0</v>
      </c>
      <c r="R21" s="194">
        <v>0</v>
      </c>
      <c r="S21" s="116"/>
      <c r="T21" s="192">
        <v>0</v>
      </c>
      <c r="U21" s="193">
        <v>0</v>
      </c>
      <c r="V21" s="193">
        <v>0</v>
      </c>
      <c r="W21" s="194">
        <v>0</v>
      </c>
      <c r="AF21" s="200"/>
      <c r="AG21" s="200"/>
      <c r="AH21" s="200"/>
      <c r="AI21" s="200"/>
      <c r="AJ21" s="200"/>
      <c r="AK21" s="200"/>
    </row>
    <row r="22" spans="1:46" s="117" customFormat="1" ht="15" customHeight="1" x14ac:dyDescent="0.2">
      <c r="A22" s="306" t="s">
        <v>75</v>
      </c>
      <c r="B22" s="243"/>
      <c r="C22" s="195" t="s">
        <v>23</v>
      </c>
      <c r="D22" s="244" t="s">
        <v>27</v>
      </c>
      <c r="E22" s="195">
        <v>2001</v>
      </c>
      <c r="F22" s="77">
        <v>7500</v>
      </c>
      <c r="G22" s="77">
        <v>35000</v>
      </c>
      <c r="H22" s="195"/>
      <c r="I22" s="195"/>
      <c r="J22" s="307"/>
      <c r="K22" s="245" t="s">
        <v>91</v>
      </c>
      <c r="L22" s="196"/>
      <c r="M22" s="197"/>
      <c r="N22" s="126"/>
      <c r="O22" s="285">
        <v>0</v>
      </c>
      <c r="P22" s="284">
        <v>0</v>
      </c>
      <c r="Q22" s="284">
        <v>0</v>
      </c>
      <c r="R22" s="286">
        <v>0</v>
      </c>
      <c r="S22" s="268"/>
      <c r="T22" s="285">
        <v>0</v>
      </c>
      <c r="U22" s="284">
        <v>0</v>
      </c>
      <c r="V22" s="308">
        <v>0</v>
      </c>
      <c r="W22" s="286">
        <v>0</v>
      </c>
      <c r="AF22" s="151"/>
      <c r="AG22" s="151"/>
      <c r="AH22" s="151"/>
      <c r="AI22" s="151"/>
      <c r="AJ22" s="151"/>
      <c r="AK22" s="151"/>
    </row>
    <row r="23" spans="1:46" s="117" customFormat="1" ht="6" customHeight="1" x14ac:dyDescent="0.2">
      <c r="A23" s="150"/>
      <c r="B23" s="180"/>
      <c r="C23" s="120"/>
      <c r="D23" s="64"/>
      <c r="E23" s="120"/>
      <c r="F23" s="122"/>
      <c r="G23" s="122"/>
      <c r="H23" s="65"/>
      <c r="I23" s="65"/>
      <c r="J23" s="65"/>
      <c r="K23" s="65"/>
      <c r="L23" s="119"/>
      <c r="M23" s="119"/>
      <c r="N23" s="119"/>
      <c r="O23" s="174"/>
      <c r="P23" s="116"/>
      <c r="Q23" s="116"/>
      <c r="R23" s="178"/>
      <c r="S23" s="268"/>
      <c r="T23" s="105"/>
      <c r="U23" s="151"/>
      <c r="V23" s="151"/>
      <c r="W23" s="66"/>
      <c r="AF23" s="151"/>
      <c r="AG23" s="151"/>
      <c r="AH23" s="151"/>
      <c r="AI23" s="151"/>
      <c r="AJ23" s="151"/>
      <c r="AK23" s="151"/>
    </row>
    <row r="24" spans="1:46" ht="15" x14ac:dyDescent="0.2">
      <c r="A24" s="140" t="s">
        <v>87</v>
      </c>
      <c r="B24" s="146"/>
      <c r="C24" s="142"/>
      <c r="D24" s="143"/>
      <c r="E24" s="144"/>
      <c r="F24" s="143"/>
      <c r="G24" s="143"/>
      <c r="H24" s="143"/>
      <c r="I24" s="143"/>
      <c r="J24" s="162"/>
      <c r="K24" s="162"/>
      <c r="L24" s="166"/>
      <c r="M24" s="167"/>
      <c r="N24" s="160"/>
      <c r="O24" s="145"/>
      <c r="P24" s="128"/>
      <c r="Q24" s="128"/>
      <c r="R24" s="129"/>
      <c r="S24" s="266"/>
      <c r="T24" s="185"/>
      <c r="U24" s="184"/>
      <c r="V24" s="184"/>
      <c r="W24" s="186"/>
      <c r="AF24" s="200"/>
      <c r="AG24" s="200"/>
      <c r="AH24" s="200"/>
      <c r="AI24" s="200"/>
      <c r="AJ24" s="200"/>
      <c r="AK24" s="200"/>
    </row>
    <row r="25" spans="1:46" s="117" customFormat="1" ht="6" customHeight="1" x14ac:dyDescent="0.2">
      <c r="A25" s="72"/>
      <c r="B25" s="139"/>
      <c r="C25" s="67"/>
      <c r="D25" s="67"/>
      <c r="E25" s="68"/>
      <c r="F25" s="69"/>
      <c r="G25" s="69"/>
      <c r="H25" s="70"/>
      <c r="I25" s="65"/>
      <c r="J25" s="65"/>
      <c r="K25" s="65"/>
      <c r="L25" s="71"/>
      <c r="M25" s="90"/>
      <c r="N25" s="71"/>
      <c r="O25" s="173"/>
      <c r="P25" s="125"/>
      <c r="Q25" s="125"/>
      <c r="R25" s="132">
        <v>0</v>
      </c>
      <c r="S25" s="269"/>
      <c r="T25" s="173">
        <v>0</v>
      </c>
      <c r="U25" s="125">
        <v>0</v>
      </c>
      <c r="V25" s="125">
        <v>0</v>
      </c>
      <c r="W25" s="132">
        <v>0</v>
      </c>
      <c r="AF25" s="151"/>
      <c r="AG25" s="151"/>
      <c r="AH25" s="151"/>
      <c r="AI25" s="151"/>
      <c r="AJ25" s="151"/>
      <c r="AK25" s="151"/>
    </row>
    <row r="26" spans="1:46" s="84" customFormat="1" ht="15" customHeight="1" x14ac:dyDescent="0.2">
      <c r="A26" s="206" t="s">
        <v>76</v>
      </c>
      <c r="B26" s="187" t="s">
        <v>104</v>
      </c>
      <c r="C26" s="188" t="s">
        <v>22</v>
      </c>
      <c r="D26" s="189" t="s">
        <v>27</v>
      </c>
      <c r="E26" s="188" t="s">
        <v>0</v>
      </c>
      <c r="F26" s="190">
        <v>7200</v>
      </c>
      <c r="G26" s="190">
        <v>25000</v>
      </c>
      <c r="H26" s="188" t="s">
        <v>15</v>
      </c>
      <c r="I26" s="188" t="s">
        <v>16</v>
      </c>
      <c r="J26" s="198">
        <v>40664</v>
      </c>
      <c r="K26" s="198">
        <v>42401</v>
      </c>
      <c r="L26" s="250">
        <v>371000</v>
      </c>
      <c r="M26" s="199">
        <v>190000</v>
      </c>
      <c r="N26" s="126"/>
      <c r="O26" s="192">
        <v>0</v>
      </c>
      <c r="P26" s="193">
        <v>0</v>
      </c>
      <c r="Q26" s="252">
        <v>0</v>
      </c>
      <c r="R26" s="253">
        <v>19</v>
      </c>
      <c r="S26" s="268"/>
      <c r="T26" s="254">
        <v>0</v>
      </c>
      <c r="U26" s="252">
        <v>45</v>
      </c>
      <c r="V26" s="252">
        <v>0</v>
      </c>
      <c r="W26" s="255">
        <v>0</v>
      </c>
      <c r="AF26" s="228"/>
      <c r="AG26" s="228"/>
      <c r="AH26" s="228"/>
      <c r="AI26" s="228"/>
      <c r="AJ26" s="228"/>
      <c r="AK26" s="228"/>
    </row>
    <row r="27" spans="1:46" s="117" customFormat="1" ht="14.25" customHeight="1" x14ac:dyDescent="0.2">
      <c r="A27" s="182" t="s">
        <v>7</v>
      </c>
      <c r="B27" s="139"/>
      <c r="C27" s="120" t="s">
        <v>22</v>
      </c>
      <c r="D27" s="131" t="s">
        <v>27</v>
      </c>
      <c r="E27" s="120" t="s">
        <v>12</v>
      </c>
      <c r="F27" s="122">
        <v>7000</v>
      </c>
      <c r="G27" s="122">
        <v>25000</v>
      </c>
      <c r="H27" s="120" t="s">
        <v>32</v>
      </c>
      <c r="I27" s="120" t="s">
        <v>32</v>
      </c>
      <c r="J27" s="183">
        <v>41943</v>
      </c>
      <c r="K27" s="183">
        <v>41973</v>
      </c>
      <c r="L27" s="324">
        <v>400000</v>
      </c>
      <c r="M27" s="257">
        <v>400000</v>
      </c>
      <c r="N27" s="256"/>
      <c r="O27" s="174">
        <v>0</v>
      </c>
      <c r="P27" s="116">
        <v>0</v>
      </c>
      <c r="Q27" s="116">
        <v>65.291666666666671</v>
      </c>
      <c r="R27" s="178">
        <v>0</v>
      </c>
      <c r="S27" s="268"/>
      <c r="T27" s="174">
        <v>0</v>
      </c>
      <c r="U27" s="116">
        <v>0</v>
      </c>
      <c r="V27" s="116">
        <v>0</v>
      </c>
      <c r="W27" s="178">
        <v>0</v>
      </c>
      <c r="AF27" s="151"/>
      <c r="AG27" s="151"/>
      <c r="AH27" s="151"/>
      <c r="AI27" s="151"/>
      <c r="AJ27" s="151"/>
      <c r="AK27" s="151"/>
    </row>
    <row r="28" spans="1:46" s="117" customFormat="1" ht="6" customHeight="1" x14ac:dyDescent="0.2">
      <c r="A28" s="279"/>
      <c r="B28" s="243"/>
      <c r="C28" s="78"/>
      <c r="D28" s="78"/>
      <c r="E28" s="239"/>
      <c r="F28" s="240"/>
      <c r="G28" s="240"/>
      <c r="H28" s="241"/>
      <c r="I28" s="97"/>
      <c r="J28" s="97"/>
      <c r="K28" s="97"/>
      <c r="L28" s="93"/>
      <c r="M28" s="242"/>
      <c r="N28" s="71"/>
      <c r="O28" s="294"/>
      <c r="P28" s="295"/>
      <c r="Q28" s="295"/>
      <c r="R28" s="296"/>
      <c r="S28" s="270"/>
      <c r="T28" s="294"/>
      <c r="U28" s="295"/>
      <c r="V28" s="295"/>
      <c r="W28" s="296"/>
      <c r="AF28" s="151"/>
      <c r="AG28" s="151"/>
      <c r="AH28" s="151"/>
      <c r="AI28" s="151"/>
      <c r="AJ28" s="151"/>
      <c r="AK28" s="151"/>
    </row>
    <row r="29" spans="1:46" s="117" customFormat="1" ht="6" customHeight="1" x14ac:dyDescent="0.2">
      <c r="A29" s="150"/>
      <c r="B29" s="180"/>
      <c r="C29" s="120"/>
      <c r="D29" s="120"/>
      <c r="E29" s="120"/>
      <c r="F29" s="122"/>
      <c r="G29" s="122"/>
      <c r="H29" s="120"/>
      <c r="I29" s="120"/>
      <c r="J29" s="65"/>
      <c r="K29" s="65"/>
      <c r="L29" s="119"/>
      <c r="M29" s="297"/>
      <c r="N29" s="119"/>
      <c r="O29" s="173"/>
      <c r="P29" s="125"/>
      <c r="Q29" s="125"/>
      <c r="R29" s="132"/>
      <c r="S29" s="269"/>
      <c r="T29" s="105"/>
      <c r="U29" s="151"/>
      <c r="V29" s="151"/>
      <c r="W29" s="66"/>
      <c r="AF29" s="151"/>
      <c r="AG29" s="151"/>
      <c r="AH29" s="151"/>
      <c r="AI29" s="151"/>
      <c r="AJ29" s="151"/>
      <c r="AK29" s="151"/>
    </row>
    <row r="30" spans="1:46" s="117" customFormat="1" ht="6" customHeight="1" x14ac:dyDescent="0.2">
      <c r="A30" s="281"/>
      <c r="B30" s="196"/>
      <c r="C30" s="282"/>
      <c r="D30" s="135"/>
      <c r="E30" s="136"/>
      <c r="F30" s="137"/>
      <c r="G30" s="137"/>
      <c r="H30" s="133"/>
      <c r="I30" s="179"/>
      <c r="J30" s="179"/>
      <c r="K30" s="179"/>
      <c r="L30" s="138"/>
      <c r="M30" s="158"/>
      <c r="N30" s="138"/>
      <c r="O30" s="175"/>
      <c r="P30" s="115"/>
      <c r="Q30" s="115"/>
      <c r="R30" s="176"/>
      <c r="S30" s="115"/>
      <c r="T30" s="175"/>
      <c r="U30" s="115"/>
      <c r="V30" s="115"/>
      <c r="W30" s="176"/>
      <c r="AB30" s="175"/>
      <c r="AC30" s="115"/>
      <c r="AD30" s="115"/>
      <c r="AE30" s="176"/>
      <c r="AF30" s="115"/>
      <c r="AG30" s="175"/>
      <c r="AH30" s="115"/>
      <c r="AI30" s="115"/>
      <c r="AJ30" s="176"/>
      <c r="AL30" s="151"/>
      <c r="AM30" s="151"/>
      <c r="AN30" s="151"/>
      <c r="AO30" s="151"/>
      <c r="AP30" s="151"/>
      <c r="AQ30" s="151"/>
      <c r="AR30" s="151"/>
      <c r="AS30" s="151"/>
      <c r="AT30" s="151"/>
    </row>
    <row r="31" spans="1:46" s="117" customFormat="1" ht="15" x14ac:dyDescent="0.2">
      <c r="A31" s="140" t="s">
        <v>108</v>
      </c>
      <c r="B31" s="146"/>
      <c r="C31" s="142"/>
      <c r="D31" s="143"/>
      <c r="E31" s="144"/>
      <c r="F31" s="143"/>
      <c r="G31" s="143"/>
      <c r="H31" s="143"/>
      <c r="I31" s="143"/>
      <c r="J31" s="162"/>
      <c r="K31" s="162"/>
      <c r="L31" s="166"/>
      <c r="M31" s="167"/>
      <c r="N31" s="160"/>
      <c r="O31" s="145"/>
      <c r="P31" s="128"/>
      <c r="Q31" s="128"/>
      <c r="R31" s="129"/>
      <c r="S31" s="283"/>
      <c r="T31" s="185"/>
      <c r="U31" s="184"/>
      <c r="V31" s="184"/>
      <c r="W31" s="186"/>
      <c r="AB31" s="145"/>
      <c r="AC31" s="128"/>
      <c r="AD31" s="128"/>
      <c r="AE31" s="129"/>
      <c r="AF31" s="283"/>
      <c r="AG31" s="185"/>
      <c r="AH31" s="184"/>
      <c r="AI31" s="184"/>
      <c r="AJ31" s="186"/>
      <c r="AL31" s="151"/>
      <c r="AM31" s="151"/>
      <c r="AN31" s="151"/>
      <c r="AO31" s="151"/>
      <c r="AP31" s="151"/>
      <c r="AQ31" s="151"/>
      <c r="AR31" s="151"/>
      <c r="AS31" s="151"/>
      <c r="AT31" s="151"/>
    </row>
    <row r="32" spans="1:46" s="5" customFormat="1" ht="6" customHeight="1" x14ac:dyDescent="0.2">
      <c r="A32" s="134"/>
      <c r="B32" s="139"/>
      <c r="C32" s="135"/>
      <c r="D32" s="135"/>
      <c r="E32" s="136"/>
      <c r="F32" s="137"/>
      <c r="G32" s="137"/>
      <c r="H32" s="133"/>
      <c r="I32" s="179"/>
      <c r="J32" s="179"/>
      <c r="K32" s="179"/>
      <c r="L32" s="138"/>
      <c r="M32" s="158"/>
      <c r="N32" s="138"/>
      <c r="O32" s="174"/>
      <c r="P32" s="116"/>
      <c r="Q32" s="116"/>
      <c r="R32" s="287"/>
      <c r="S32" s="116"/>
      <c r="T32" s="174"/>
      <c r="U32" s="116"/>
      <c r="V32" s="116"/>
      <c r="W32" s="178"/>
      <c r="AB32" s="174"/>
      <c r="AC32" s="116"/>
      <c r="AD32" s="116"/>
      <c r="AE32" s="287"/>
      <c r="AF32" s="116"/>
      <c r="AG32" s="174"/>
      <c r="AH32" s="116"/>
      <c r="AI32" s="116"/>
      <c r="AJ32" s="178"/>
      <c r="AL32" s="288"/>
      <c r="AM32" s="288"/>
      <c r="AN32" s="288"/>
      <c r="AO32" s="288"/>
      <c r="AP32" s="288"/>
      <c r="AQ32" s="288"/>
      <c r="AR32" s="288"/>
      <c r="AS32" s="288"/>
      <c r="AT32" s="288"/>
    </row>
    <row r="33" spans="1:46" ht="14.25" customHeight="1" x14ac:dyDescent="0.2">
      <c r="A33" s="310" t="s">
        <v>109</v>
      </c>
      <c r="B33" s="205" t="s">
        <v>110</v>
      </c>
      <c r="C33" s="188" t="s">
        <v>23</v>
      </c>
      <c r="D33" s="188"/>
      <c r="E33" s="188" t="s">
        <v>111</v>
      </c>
      <c r="F33" s="190">
        <v>4500</v>
      </c>
      <c r="G33" s="190">
        <v>25000</v>
      </c>
      <c r="H33" s="188" t="s">
        <v>112</v>
      </c>
      <c r="I33" s="188" t="s">
        <v>113</v>
      </c>
      <c r="J33" s="198">
        <v>40969</v>
      </c>
      <c r="K33" s="198">
        <v>42064</v>
      </c>
      <c r="L33" s="191">
        <v>400000</v>
      </c>
      <c r="M33" s="199">
        <v>469000</v>
      </c>
      <c r="N33" s="126"/>
      <c r="O33" s="192">
        <v>0</v>
      </c>
      <c r="P33" s="193">
        <v>0</v>
      </c>
      <c r="Q33" s="193">
        <v>0</v>
      </c>
      <c r="R33" s="194">
        <v>0</v>
      </c>
      <c r="S33" s="116"/>
      <c r="T33" s="314">
        <v>0</v>
      </c>
      <c r="U33" s="315">
        <v>45</v>
      </c>
      <c r="V33" s="193">
        <v>0</v>
      </c>
      <c r="W33" s="194">
        <v>0</v>
      </c>
      <c r="AB33" s="174"/>
      <c r="AC33" s="116"/>
      <c r="AD33" s="116"/>
      <c r="AE33" s="178"/>
      <c r="AF33" s="116"/>
      <c r="AG33" s="174"/>
      <c r="AH33" s="116"/>
      <c r="AI33" s="116"/>
      <c r="AJ33" s="178"/>
      <c r="AL33" s="200"/>
      <c r="AM33" s="200"/>
      <c r="AN33" s="200"/>
      <c r="AO33" s="200"/>
      <c r="AP33" s="200"/>
      <c r="AQ33" s="200"/>
      <c r="AR33" s="200"/>
      <c r="AS33" s="200"/>
      <c r="AT33" s="200"/>
    </row>
    <row r="34" spans="1:46" ht="14.25" customHeight="1" x14ac:dyDescent="0.2">
      <c r="A34" s="311"/>
      <c r="B34" s="312"/>
      <c r="C34" s="188"/>
      <c r="D34" s="188"/>
      <c r="E34" s="188"/>
      <c r="F34" s="190"/>
      <c r="G34" s="190"/>
      <c r="H34" s="309" t="s">
        <v>115</v>
      </c>
      <c r="I34" s="309" t="s">
        <v>121</v>
      </c>
      <c r="J34" s="198">
        <v>42142</v>
      </c>
      <c r="K34" s="198">
        <v>43237</v>
      </c>
      <c r="L34" s="191">
        <v>335000</v>
      </c>
      <c r="M34" s="199">
        <v>400000</v>
      </c>
      <c r="N34" s="126"/>
      <c r="O34" s="192"/>
      <c r="P34" s="193"/>
      <c r="Q34" s="193"/>
      <c r="R34" s="194"/>
      <c r="S34" s="268"/>
      <c r="T34" s="192"/>
      <c r="U34" s="193"/>
      <c r="V34" s="193"/>
      <c r="W34" s="194"/>
      <c r="AB34" s="174"/>
      <c r="AC34" s="116"/>
      <c r="AD34" s="116"/>
      <c r="AE34" s="178"/>
      <c r="AF34" s="116"/>
      <c r="AG34" s="174"/>
      <c r="AH34" s="116"/>
      <c r="AI34" s="116"/>
      <c r="AJ34" s="178"/>
      <c r="AL34" s="200"/>
      <c r="AM34" s="200"/>
      <c r="AN34" s="200"/>
      <c r="AO34" s="200"/>
      <c r="AP34" s="200"/>
      <c r="AQ34" s="200"/>
      <c r="AR34" s="200"/>
      <c r="AS34" s="200"/>
      <c r="AT34" s="200"/>
    </row>
    <row r="35" spans="1:46" ht="14.25" customHeight="1" x14ac:dyDescent="0.2">
      <c r="A35" s="311"/>
      <c r="B35" s="205">
        <v>-14</v>
      </c>
      <c r="C35" s="188"/>
      <c r="D35" s="188"/>
      <c r="E35" s="188"/>
      <c r="F35" s="190"/>
      <c r="G35" s="190"/>
      <c r="H35" s="309" t="s">
        <v>115</v>
      </c>
      <c r="I35" s="309" t="s">
        <v>121</v>
      </c>
      <c r="J35" s="198">
        <f>K34</f>
        <v>43237</v>
      </c>
      <c r="K35" s="198">
        <v>43602</v>
      </c>
      <c r="L35" s="191">
        <v>305000</v>
      </c>
      <c r="M35" s="199">
        <v>335000</v>
      </c>
      <c r="N35" s="126"/>
      <c r="O35" s="192"/>
      <c r="P35" s="193"/>
      <c r="Q35" s="193"/>
      <c r="R35" s="194"/>
      <c r="S35" s="268"/>
      <c r="T35" s="192"/>
      <c r="U35" s="193"/>
      <c r="V35" s="193"/>
      <c r="W35" s="194"/>
      <c r="AB35" s="174"/>
      <c r="AC35" s="116"/>
      <c r="AD35" s="116"/>
      <c r="AE35" s="178"/>
      <c r="AF35" s="116"/>
      <c r="AG35" s="174"/>
      <c r="AH35" s="116"/>
      <c r="AI35" s="116"/>
      <c r="AJ35" s="178"/>
      <c r="AL35" s="200"/>
      <c r="AM35" s="200"/>
      <c r="AN35" s="200"/>
      <c r="AO35" s="200"/>
      <c r="AP35" s="200"/>
      <c r="AQ35" s="200"/>
      <c r="AR35" s="200"/>
      <c r="AS35" s="200"/>
      <c r="AT35" s="200"/>
    </row>
    <row r="36" spans="1:46" s="117" customFormat="1" ht="2.25" customHeight="1" x14ac:dyDescent="0.2">
      <c r="A36" s="279"/>
      <c r="B36" s="243"/>
      <c r="C36" s="78"/>
      <c r="D36" s="78"/>
      <c r="E36" s="239"/>
      <c r="F36" s="240"/>
      <c r="G36" s="240"/>
      <c r="H36" s="241"/>
      <c r="I36" s="97"/>
      <c r="J36" s="97"/>
      <c r="K36" s="97"/>
      <c r="L36" s="93"/>
      <c r="M36" s="242"/>
      <c r="N36" s="71"/>
      <c r="O36" s="294"/>
      <c r="P36" s="295"/>
      <c r="Q36" s="295"/>
      <c r="R36" s="296"/>
      <c r="S36" s="270"/>
      <c r="T36" s="294"/>
      <c r="U36" s="295"/>
      <c r="V36" s="295"/>
      <c r="W36" s="296"/>
      <c r="AF36" s="151"/>
      <c r="AG36" s="151"/>
      <c r="AH36" s="151"/>
      <c r="AI36" s="151"/>
      <c r="AJ36" s="151"/>
      <c r="AK36" s="151"/>
    </row>
    <row r="37" spans="1:46" s="117" customFormat="1" ht="6" customHeight="1" x14ac:dyDescent="0.2">
      <c r="A37" s="281"/>
      <c r="B37" s="196"/>
      <c r="C37" s="282"/>
      <c r="D37" s="135"/>
      <c r="E37" s="136"/>
      <c r="F37" s="137"/>
      <c r="G37" s="137"/>
      <c r="H37" s="133"/>
      <c r="I37" s="179"/>
      <c r="J37" s="179"/>
      <c r="K37" s="179"/>
      <c r="L37" s="138"/>
      <c r="M37" s="158"/>
      <c r="N37" s="138"/>
      <c r="O37" s="175"/>
      <c r="P37" s="115"/>
      <c r="Q37" s="115"/>
      <c r="R37" s="176"/>
      <c r="S37" s="270"/>
      <c r="T37" s="175"/>
      <c r="U37" s="115"/>
      <c r="V37" s="115"/>
      <c r="W37" s="176"/>
      <c r="AB37" s="175"/>
      <c r="AC37" s="115"/>
      <c r="AD37" s="115"/>
      <c r="AE37" s="176"/>
      <c r="AF37" s="115"/>
      <c r="AG37" s="175"/>
      <c r="AH37" s="115"/>
      <c r="AI37" s="115"/>
      <c r="AJ37" s="176"/>
      <c r="AL37" s="151"/>
      <c r="AM37" s="151"/>
      <c r="AN37" s="151"/>
      <c r="AO37" s="151"/>
      <c r="AP37" s="151"/>
      <c r="AQ37" s="151"/>
      <c r="AR37" s="151"/>
      <c r="AS37" s="151"/>
      <c r="AT37" s="151"/>
    </row>
    <row r="38" spans="1:46" s="117" customFormat="1" ht="14.25" customHeight="1" x14ac:dyDescent="0.2">
      <c r="A38" s="140" t="s">
        <v>35</v>
      </c>
      <c r="B38" s="146"/>
      <c r="C38" s="142"/>
      <c r="D38" s="143"/>
      <c r="E38" s="144"/>
      <c r="F38" s="143"/>
      <c r="G38" s="143"/>
      <c r="H38" s="143"/>
      <c r="I38" s="143"/>
      <c r="J38" s="162"/>
      <c r="K38" s="162"/>
      <c r="L38" s="166"/>
      <c r="M38" s="167"/>
      <c r="N38" s="160"/>
      <c r="O38" s="145"/>
      <c r="P38" s="128"/>
      <c r="Q38" s="128"/>
      <c r="R38" s="129"/>
      <c r="S38" s="266"/>
      <c r="T38" s="185"/>
      <c r="U38" s="184"/>
      <c r="V38" s="184"/>
      <c r="W38" s="186"/>
      <c r="AF38" s="151"/>
      <c r="AG38" s="151"/>
      <c r="AH38" s="151"/>
      <c r="AI38" s="151"/>
      <c r="AJ38" s="151"/>
      <c r="AK38" s="151"/>
    </row>
    <row r="39" spans="1:46" s="117" customFormat="1" ht="6" customHeight="1" x14ac:dyDescent="0.2">
      <c r="A39" s="72"/>
      <c r="B39" s="139"/>
      <c r="C39" s="67"/>
      <c r="D39" s="67"/>
      <c r="E39" s="68"/>
      <c r="F39" s="69"/>
      <c r="G39" s="69"/>
      <c r="H39" s="70"/>
      <c r="I39" s="65"/>
      <c r="J39" s="65"/>
      <c r="K39" s="65"/>
      <c r="L39" s="71"/>
      <c r="M39" s="90"/>
      <c r="N39" s="71"/>
      <c r="O39" s="173"/>
      <c r="P39" s="125"/>
      <c r="Q39" s="125"/>
      <c r="R39" s="132">
        <v>0</v>
      </c>
      <c r="S39" s="269"/>
      <c r="T39" s="173">
        <v>0</v>
      </c>
      <c r="U39" s="125">
        <v>0</v>
      </c>
      <c r="V39" s="125">
        <v>0</v>
      </c>
      <c r="W39" s="132">
        <v>0</v>
      </c>
      <c r="AF39" s="151"/>
      <c r="AG39" s="151"/>
      <c r="AH39" s="151"/>
      <c r="AI39" s="151"/>
      <c r="AJ39" s="151"/>
      <c r="AK39" s="151"/>
    </row>
    <row r="40" spans="1:46" s="84" customFormat="1" ht="15" customHeight="1" x14ac:dyDescent="0.2">
      <c r="A40" s="258" t="s">
        <v>38</v>
      </c>
      <c r="B40" s="205">
        <v>-7</v>
      </c>
      <c r="C40" s="188" t="s">
        <v>23</v>
      </c>
      <c r="D40" s="188"/>
      <c r="E40" s="188">
        <v>1983</v>
      </c>
      <c r="F40" s="190">
        <v>2800</v>
      </c>
      <c r="G40" s="190">
        <v>25000</v>
      </c>
      <c r="H40" s="188" t="s">
        <v>17</v>
      </c>
      <c r="I40" s="188" t="s">
        <v>100</v>
      </c>
      <c r="J40" s="198">
        <v>41944</v>
      </c>
      <c r="K40" s="198">
        <v>42141</v>
      </c>
      <c r="L40" s="191">
        <v>311000</v>
      </c>
      <c r="M40" s="199">
        <v>387000</v>
      </c>
      <c r="N40" s="126"/>
      <c r="O40" s="192">
        <v>0</v>
      </c>
      <c r="P40" s="193">
        <v>0</v>
      </c>
      <c r="Q40" s="193">
        <v>0</v>
      </c>
      <c r="R40" s="229">
        <v>24</v>
      </c>
      <c r="S40" s="268"/>
      <c r="T40" s="192">
        <v>0</v>
      </c>
      <c r="U40" s="193">
        <v>0</v>
      </c>
      <c r="V40" s="193">
        <v>0</v>
      </c>
      <c r="W40" s="194">
        <v>0</v>
      </c>
      <c r="AF40" s="228"/>
      <c r="AG40" s="228"/>
      <c r="AH40" s="228"/>
      <c r="AI40" s="228"/>
      <c r="AJ40" s="228"/>
      <c r="AK40" s="228"/>
    </row>
    <row r="41" spans="1:46" s="117" customFormat="1" ht="15" customHeight="1" x14ac:dyDescent="0.2">
      <c r="A41" s="182" t="s">
        <v>79</v>
      </c>
      <c r="B41" s="159"/>
      <c r="C41" s="120" t="s">
        <v>23</v>
      </c>
      <c r="D41" s="120"/>
      <c r="E41" s="120">
        <v>1984</v>
      </c>
      <c r="F41" s="122">
        <v>1800</v>
      </c>
      <c r="G41" s="122">
        <v>25000</v>
      </c>
      <c r="H41" s="133"/>
      <c r="I41" s="177"/>
      <c r="J41" s="179"/>
      <c r="K41" s="183" t="s">
        <v>91</v>
      </c>
      <c r="L41" s="126"/>
      <c r="M41" s="127"/>
      <c r="N41" s="126"/>
      <c r="O41" s="174">
        <v>0</v>
      </c>
      <c r="P41" s="116">
        <v>0</v>
      </c>
      <c r="Q41" s="116">
        <v>0</v>
      </c>
      <c r="R41" s="178">
        <v>0</v>
      </c>
      <c r="S41" s="268"/>
      <c r="T41" s="174">
        <v>0</v>
      </c>
      <c r="U41" s="116">
        <v>0</v>
      </c>
      <c r="V41" s="116">
        <v>0</v>
      </c>
      <c r="W41" s="178">
        <v>0</v>
      </c>
      <c r="AF41" s="151"/>
      <c r="AG41" s="151"/>
      <c r="AH41" s="151"/>
      <c r="AI41" s="151"/>
      <c r="AJ41" s="151"/>
      <c r="AK41" s="151"/>
    </row>
    <row r="42" spans="1:46" s="84" customFormat="1" ht="15" customHeight="1" x14ac:dyDescent="0.2">
      <c r="A42" s="259" t="s">
        <v>77</v>
      </c>
      <c r="B42" s="231"/>
      <c r="C42" s="99" t="s">
        <v>23</v>
      </c>
      <c r="D42" s="99"/>
      <c r="E42" s="99">
        <v>1982</v>
      </c>
      <c r="F42" s="100">
        <v>1500</v>
      </c>
      <c r="G42" s="100">
        <v>25000</v>
      </c>
      <c r="H42" s="99" t="s">
        <v>18</v>
      </c>
      <c r="I42" s="99" t="s">
        <v>19</v>
      </c>
      <c r="J42" s="230">
        <v>41061</v>
      </c>
      <c r="K42" s="230">
        <v>42216</v>
      </c>
      <c r="L42" s="101">
        <v>190000</v>
      </c>
      <c r="M42" s="231">
        <v>222000</v>
      </c>
      <c r="N42" s="126"/>
      <c r="O42" s="102">
        <v>0</v>
      </c>
      <c r="P42" s="103">
        <v>0</v>
      </c>
      <c r="Q42" s="103">
        <v>0</v>
      </c>
      <c r="R42" s="104">
        <v>0</v>
      </c>
      <c r="S42" s="271"/>
      <c r="T42" s="238">
        <v>0</v>
      </c>
      <c r="U42" s="103">
        <v>0</v>
      </c>
      <c r="V42" s="103">
        <v>21</v>
      </c>
      <c r="W42" s="104">
        <v>0</v>
      </c>
      <c r="AF42" s="228"/>
      <c r="AG42" s="228"/>
      <c r="AH42" s="228"/>
      <c r="AI42" s="228"/>
      <c r="AJ42" s="228"/>
      <c r="AK42" s="228"/>
    </row>
    <row r="43" spans="1:46" ht="6" customHeight="1" x14ac:dyDescent="0.2">
      <c r="A43" s="117"/>
      <c r="B43" s="76"/>
      <c r="C43" s="117"/>
      <c r="D43" s="117"/>
      <c r="E43" s="117"/>
      <c r="F43" s="117"/>
      <c r="G43" s="117"/>
      <c r="H43" s="117"/>
      <c r="I43" s="117"/>
      <c r="J43" s="177"/>
      <c r="K43" s="177"/>
      <c r="L43" s="155"/>
      <c r="M43" s="155"/>
      <c r="O43" s="105"/>
      <c r="P43" s="151"/>
      <c r="Q43" s="151"/>
      <c r="R43" s="66"/>
      <c r="S43" s="272"/>
      <c r="T43" s="105"/>
      <c r="U43" s="151"/>
      <c r="V43" s="151"/>
      <c r="W43" s="66"/>
      <c r="AF43" s="200"/>
      <c r="AG43" s="200"/>
      <c r="AH43" s="200"/>
      <c r="AI43" s="200"/>
      <c r="AJ43" s="200"/>
      <c r="AK43" s="200"/>
    </row>
    <row r="44" spans="1:46" s="117" customFormat="1" ht="15.75" customHeight="1" x14ac:dyDescent="0.2">
      <c r="A44" s="140" t="s">
        <v>37</v>
      </c>
      <c r="B44" s="146"/>
      <c r="C44" s="142"/>
      <c r="D44" s="143"/>
      <c r="E44" s="144"/>
      <c r="F44" s="143"/>
      <c r="G44" s="143"/>
      <c r="H44" s="143"/>
      <c r="I44" s="143"/>
      <c r="J44" s="162"/>
      <c r="K44" s="162"/>
      <c r="L44" s="166"/>
      <c r="M44" s="167"/>
      <c r="N44" s="160"/>
      <c r="O44" s="172"/>
      <c r="P44" s="157"/>
      <c r="Q44" s="157"/>
      <c r="R44" s="156"/>
      <c r="S44" s="273"/>
      <c r="T44" s="223"/>
      <c r="U44" s="224"/>
      <c r="V44" s="224"/>
      <c r="W44" s="225"/>
      <c r="AF44" s="151"/>
      <c r="AG44" s="151"/>
      <c r="AH44" s="151"/>
      <c r="AI44" s="151"/>
      <c r="AJ44" s="151"/>
      <c r="AK44" s="151"/>
    </row>
    <row r="45" spans="1:46" s="117" customFormat="1" ht="6" customHeight="1" x14ac:dyDescent="0.2">
      <c r="A45" s="134"/>
      <c r="B45" s="139"/>
      <c r="C45" s="135"/>
      <c r="D45" s="135"/>
      <c r="E45" s="136"/>
      <c r="F45" s="137"/>
      <c r="G45" s="137"/>
      <c r="H45" s="133"/>
      <c r="I45" s="179"/>
      <c r="J45" s="179"/>
      <c r="K45" s="179"/>
      <c r="L45" s="138"/>
      <c r="M45" s="158"/>
      <c r="N45" s="138"/>
      <c r="O45" s="321"/>
      <c r="P45" s="322"/>
      <c r="Q45" s="125"/>
      <c r="R45" s="132">
        <v>0</v>
      </c>
      <c r="S45" s="269"/>
      <c r="T45" s="173">
        <v>0</v>
      </c>
      <c r="U45" s="125">
        <v>0</v>
      </c>
      <c r="V45" s="125">
        <v>0</v>
      </c>
      <c r="W45" s="132">
        <v>0</v>
      </c>
      <c r="AF45" s="151"/>
      <c r="AG45" s="151"/>
      <c r="AH45" s="151"/>
      <c r="AI45" s="151"/>
      <c r="AJ45" s="151"/>
      <c r="AK45" s="151"/>
    </row>
    <row r="46" spans="1:46" s="84" customFormat="1" ht="14.25" customHeight="1" x14ac:dyDescent="0.2">
      <c r="A46" s="232" t="s">
        <v>78</v>
      </c>
      <c r="B46" s="98"/>
      <c r="C46" s="233"/>
      <c r="D46" s="233"/>
      <c r="E46" s="234">
        <v>1999</v>
      </c>
      <c r="F46" s="235">
        <v>400</v>
      </c>
      <c r="G46" s="235">
        <v>30000</v>
      </c>
      <c r="H46" s="323" t="s">
        <v>118</v>
      </c>
      <c r="I46" s="222" t="s">
        <v>119</v>
      </c>
      <c r="J46" s="222">
        <v>41961</v>
      </c>
      <c r="K46" s="222">
        <v>42094</v>
      </c>
      <c r="L46" s="236">
        <v>175000</v>
      </c>
      <c r="M46" s="231">
        <v>160000</v>
      </c>
      <c r="N46" s="126"/>
      <c r="O46" s="102">
        <v>0</v>
      </c>
      <c r="P46" s="103">
        <v>0</v>
      </c>
      <c r="Q46" s="103">
        <v>6.125</v>
      </c>
      <c r="R46" s="237">
        <v>38.84375</v>
      </c>
      <c r="S46" s="268"/>
      <c r="T46" s="238">
        <v>0</v>
      </c>
      <c r="U46" s="317">
        <v>80</v>
      </c>
      <c r="V46" s="317">
        <v>0</v>
      </c>
      <c r="W46" s="104">
        <v>0</v>
      </c>
      <c r="AF46" s="228"/>
      <c r="AG46" s="228"/>
      <c r="AH46" s="228"/>
      <c r="AI46" s="228"/>
      <c r="AJ46" s="228"/>
      <c r="AK46" s="228"/>
    </row>
    <row r="47" spans="1:46" x14ac:dyDescent="0.2">
      <c r="K47" s="124"/>
    </row>
    <row r="48" spans="1:46" ht="15" x14ac:dyDescent="0.2">
      <c r="A48" s="145" t="s">
        <v>88</v>
      </c>
      <c r="B48" s="277"/>
      <c r="C48" s="142"/>
      <c r="D48" s="147"/>
      <c r="E48" s="148"/>
      <c r="F48" s="147"/>
      <c r="G48" s="147"/>
      <c r="H48" s="149"/>
      <c r="I48" s="147"/>
      <c r="J48" s="164"/>
      <c r="K48" s="164"/>
      <c r="L48" s="170"/>
      <c r="M48" s="171"/>
    </row>
    <row r="49" spans="1:23" ht="6" customHeight="1" x14ac:dyDescent="0.2">
      <c r="A49" s="202"/>
      <c r="B49" s="278"/>
      <c r="C49" s="203"/>
      <c r="D49" s="131"/>
      <c r="E49" s="112"/>
      <c r="F49" s="122"/>
      <c r="G49" s="113"/>
      <c r="H49" s="120"/>
      <c r="I49" s="120"/>
      <c r="J49" s="179"/>
      <c r="K49" s="179"/>
      <c r="L49" s="126"/>
      <c r="M49" s="204"/>
    </row>
    <row r="50" spans="1:23" ht="4.5" customHeight="1" x14ac:dyDescent="0.2">
      <c r="A50" s="123"/>
      <c r="B50" s="196"/>
      <c r="C50" s="195"/>
      <c r="D50" s="131"/>
      <c r="E50" s="177"/>
      <c r="F50" s="121"/>
      <c r="G50" s="121"/>
      <c r="H50" s="177"/>
      <c r="I50" s="177"/>
      <c r="J50" s="177"/>
      <c r="K50" s="177"/>
      <c r="L50" s="126"/>
      <c r="M50" s="165"/>
    </row>
    <row r="51" spans="1:23" ht="15" x14ac:dyDescent="0.2">
      <c r="A51" s="140" t="s">
        <v>69</v>
      </c>
      <c r="B51" s="141"/>
      <c r="C51" s="142"/>
      <c r="D51" s="143"/>
      <c r="E51" s="144"/>
      <c r="F51" s="143"/>
      <c r="G51" s="143"/>
      <c r="H51" s="143"/>
      <c r="I51" s="143"/>
      <c r="J51" s="162"/>
      <c r="K51" s="162"/>
      <c r="L51" s="166"/>
      <c r="M51" s="171"/>
    </row>
    <row r="52" spans="1:23" x14ac:dyDescent="0.2">
      <c r="A52" s="73"/>
      <c r="B52" s="130"/>
      <c r="C52" s="112"/>
      <c r="D52" s="131"/>
      <c r="E52" s="112"/>
      <c r="F52" s="122"/>
      <c r="G52" s="113"/>
      <c r="H52" s="120"/>
      <c r="I52" s="120"/>
      <c r="J52" s="179"/>
      <c r="K52" s="179"/>
      <c r="L52" s="126"/>
      <c r="M52" s="204"/>
    </row>
    <row r="53" spans="1:23" s="85" customFormat="1" ht="14.25" customHeight="1" x14ac:dyDescent="0.2">
      <c r="A53" s="260" t="s">
        <v>71</v>
      </c>
      <c r="B53" s="187"/>
      <c r="C53" s="188" t="s">
        <v>22</v>
      </c>
      <c r="D53" s="189" t="s">
        <v>27</v>
      </c>
      <c r="E53" s="188">
        <v>1999</v>
      </c>
      <c r="F53" s="190">
        <v>10000</v>
      </c>
      <c r="G53" s="190">
        <v>35000</v>
      </c>
      <c r="H53" s="261" t="s">
        <v>14</v>
      </c>
      <c r="I53" s="188" t="s">
        <v>20</v>
      </c>
      <c r="J53" s="262">
        <f>+K16</f>
        <v>42124</v>
      </c>
      <c r="K53" s="262">
        <v>42216</v>
      </c>
      <c r="L53" s="250">
        <v>415000</v>
      </c>
      <c r="M53" s="251">
        <v>399000</v>
      </c>
      <c r="N53" s="117"/>
      <c r="O53" s="114"/>
      <c r="P53" s="114"/>
      <c r="Q53" s="114"/>
      <c r="R53" s="114"/>
      <c r="S53" s="117"/>
      <c r="T53" s="114"/>
      <c r="U53" s="114"/>
      <c r="V53" s="114"/>
      <c r="W53" s="114"/>
    </row>
    <row r="54" spans="1:23" s="85" customFormat="1" ht="14.25" customHeight="1" x14ac:dyDescent="0.2">
      <c r="A54" s="260"/>
      <c r="B54" s="187"/>
      <c r="C54" s="188"/>
      <c r="D54" s="189"/>
      <c r="E54" s="188"/>
      <c r="F54" s="190"/>
      <c r="G54" s="190"/>
      <c r="H54" s="261"/>
      <c r="I54" s="188"/>
      <c r="J54" s="262">
        <f>+K53</f>
        <v>42216</v>
      </c>
      <c r="K54" s="262">
        <f>+J54+90</f>
        <v>42306</v>
      </c>
      <c r="L54" s="250">
        <v>415000</v>
      </c>
      <c r="M54" s="251">
        <f>+L53</f>
        <v>415000</v>
      </c>
      <c r="N54" s="117"/>
      <c r="O54" s="114"/>
      <c r="P54" s="114"/>
      <c r="Q54" s="114"/>
      <c r="R54" s="114"/>
      <c r="S54" s="117"/>
      <c r="T54" s="114"/>
      <c r="U54" s="114"/>
      <c r="V54" s="114"/>
      <c r="W54" s="114"/>
    </row>
    <row r="55" spans="1:23" s="85" customFormat="1" ht="14.25" customHeight="1" x14ac:dyDescent="0.2">
      <c r="A55" s="260"/>
      <c r="B55" s="187"/>
      <c r="C55" s="188"/>
      <c r="D55" s="189"/>
      <c r="E55" s="188"/>
      <c r="F55" s="190"/>
      <c r="G55" s="190"/>
      <c r="H55" s="261"/>
      <c r="I55" s="188"/>
      <c r="J55" s="262">
        <f>+K54</f>
        <v>42306</v>
      </c>
      <c r="K55" s="262">
        <f>+J55+90</f>
        <v>42396</v>
      </c>
      <c r="L55" s="250">
        <v>415000</v>
      </c>
      <c r="M55" s="251">
        <f>+L54</f>
        <v>415000</v>
      </c>
      <c r="N55" s="117"/>
      <c r="O55" s="114"/>
      <c r="P55" s="114"/>
      <c r="Q55" s="114"/>
      <c r="R55" s="114"/>
      <c r="S55" s="117"/>
      <c r="T55" s="114"/>
      <c r="U55" s="114"/>
      <c r="V55" s="114"/>
      <c r="W55" s="114"/>
    </row>
    <row r="56" spans="1:23" s="85" customFormat="1" ht="14.25" customHeight="1" x14ac:dyDescent="0.2">
      <c r="A56" s="260"/>
      <c r="B56" s="187"/>
      <c r="C56" s="188"/>
      <c r="D56" s="189"/>
      <c r="E56" s="188"/>
      <c r="F56" s="190"/>
      <c r="G56" s="190"/>
      <c r="H56" s="261"/>
      <c r="I56" s="188"/>
      <c r="J56" s="262">
        <f>+K55</f>
        <v>42396</v>
      </c>
      <c r="K56" s="262">
        <f>+J56+90</f>
        <v>42486</v>
      </c>
      <c r="L56" s="250">
        <v>415000</v>
      </c>
      <c r="M56" s="251">
        <f>+L55</f>
        <v>415000</v>
      </c>
      <c r="N56" s="117"/>
      <c r="O56" s="114"/>
      <c r="P56" s="114"/>
      <c r="Q56" s="114"/>
      <c r="R56" s="114"/>
      <c r="S56" s="117"/>
      <c r="T56" s="114"/>
      <c r="U56" s="114"/>
      <c r="V56" s="114"/>
      <c r="W56" s="114"/>
    </row>
    <row r="57" spans="1:23" x14ac:dyDescent="0.2">
      <c r="A57" s="313" t="s">
        <v>74</v>
      </c>
      <c r="B57" s="275"/>
      <c r="C57" s="195" t="s">
        <v>23</v>
      </c>
      <c r="D57" s="244" t="s">
        <v>27</v>
      </c>
      <c r="E57" s="195">
        <v>2001</v>
      </c>
      <c r="F57" s="77">
        <v>8500</v>
      </c>
      <c r="G57" s="77">
        <v>35000</v>
      </c>
      <c r="H57" s="195" t="s">
        <v>93</v>
      </c>
      <c r="I57" s="195" t="s">
        <v>92</v>
      </c>
      <c r="J57" s="245">
        <v>42353</v>
      </c>
      <c r="K57" s="245">
        <v>42401</v>
      </c>
      <c r="L57" s="276">
        <v>495000</v>
      </c>
      <c r="M57" s="197">
        <v>495000</v>
      </c>
    </row>
    <row r="58" spans="1:23" x14ac:dyDescent="0.2">
      <c r="M58" s="117"/>
    </row>
    <row r="59" spans="1:23" x14ac:dyDescent="0.2">
      <c r="M59" s="117"/>
    </row>
  </sheetData>
  <mergeCells count="6">
    <mergeCell ref="A3:M3"/>
    <mergeCell ref="A4:M4"/>
    <mergeCell ref="O5:R5"/>
    <mergeCell ref="T5:W5"/>
    <mergeCell ref="O7:R7"/>
    <mergeCell ref="T7:W7"/>
  </mergeCells>
  <printOptions horizontalCentered="1"/>
  <pageMargins left="0.7" right="0.7" top="0.75" bottom="0.75" header="0.3" footer="0.3"/>
  <pageSetup paperSize="3" scale="72" fitToHeight="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3"/>
  <sheetViews>
    <sheetView showGridLines="0" view="pageBreakPreview" topLeftCell="B1" zoomScaleNormal="100" zoomScaleSheetLayoutView="100" workbookViewId="0">
      <selection activeCell="D1" sqref="D1"/>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4"/>
      <c r="M1" s="7"/>
      <c r="O1" s="25"/>
    </row>
    <row r="2" spans="1:15" s="6" customFormat="1" ht="13.5" customHeight="1" x14ac:dyDescent="0.2">
      <c r="B2" s="30" t="str">
        <f>Report!A2</f>
        <v>Updated: November 18, 2014</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337" t="s">
        <v>33</v>
      </c>
      <c r="C5" s="337"/>
      <c r="D5" s="14"/>
      <c r="E5" s="15"/>
      <c r="F5" s="16"/>
      <c r="G5" s="12"/>
      <c r="H5" s="12"/>
      <c r="I5" s="13"/>
      <c r="J5" s="17"/>
      <c r="K5" s="18"/>
      <c r="L5" s="18"/>
      <c r="M5" s="19"/>
      <c r="N5" s="20"/>
    </row>
    <row r="6" spans="1:15" x14ac:dyDescent="0.2">
      <c r="A6" s="21" t="s">
        <v>85</v>
      </c>
      <c r="C6" s="2"/>
      <c r="D6" s="1"/>
      <c r="E6" s="2"/>
      <c r="F6" s="1"/>
      <c r="G6" s="3"/>
      <c r="H6" s="3"/>
      <c r="I6" s="2"/>
      <c r="J6" s="2"/>
      <c r="K6" s="2"/>
      <c r="L6" s="2"/>
      <c r="M6" s="11"/>
      <c r="N6" s="2"/>
    </row>
    <row r="7" spans="1:15" s="32" customFormat="1" x14ac:dyDescent="0.2">
      <c r="A7" s="29" t="s">
        <v>42</v>
      </c>
      <c r="B7" s="82" t="s">
        <v>42</v>
      </c>
      <c r="C7" s="334" t="s">
        <v>41</v>
      </c>
      <c r="D7" s="338"/>
      <c r="E7" s="338"/>
      <c r="F7" s="338"/>
      <c r="G7" s="338"/>
      <c r="H7" s="338"/>
      <c r="I7" s="338"/>
      <c r="J7" s="338"/>
      <c r="K7" s="338"/>
      <c r="L7" s="338"/>
      <c r="M7" s="338"/>
      <c r="N7" s="338"/>
      <c r="O7" s="26"/>
    </row>
    <row r="8" spans="1:15" s="32" customFormat="1" ht="62.25" customHeight="1" x14ac:dyDescent="0.2">
      <c r="A8" s="29" t="s">
        <v>43</v>
      </c>
      <c r="B8" s="82" t="s">
        <v>43</v>
      </c>
      <c r="C8" s="334" t="s">
        <v>98</v>
      </c>
      <c r="D8" s="335"/>
      <c r="E8" s="335"/>
      <c r="F8" s="335"/>
      <c r="G8" s="335"/>
      <c r="H8" s="335"/>
      <c r="I8" s="335"/>
      <c r="J8" s="335"/>
      <c r="K8" s="335"/>
      <c r="L8" s="335"/>
      <c r="M8" s="335"/>
      <c r="N8" s="335"/>
      <c r="O8" s="26"/>
    </row>
    <row r="9" spans="1:15" s="32" customFormat="1" ht="51" customHeight="1" x14ac:dyDescent="0.2">
      <c r="A9" s="29" t="s">
        <v>44</v>
      </c>
      <c r="B9" s="82" t="s">
        <v>44</v>
      </c>
      <c r="C9" s="334" t="s">
        <v>53</v>
      </c>
      <c r="D9" s="338"/>
      <c r="E9" s="338"/>
      <c r="F9" s="338"/>
      <c r="G9" s="338"/>
      <c r="H9" s="338"/>
      <c r="I9" s="338"/>
      <c r="J9" s="338"/>
      <c r="K9" s="338"/>
      <c r="L9" s="338"/>
      <c r="M9" s="338"/>
      <c r="N9" s="338"/>
      <c r="O9" s="26"/>
    </row>
    <row r="10" spans="1:15" s="32" customFormat="1" ht="27" customHeight="1" x14ac:dyDescent="0.2">
      <c r="A10" s="29" t="s">
        <v>45</v>
      </c>
      <c r="B10" s="82" t="s">
        <v>45</v>
      </c>
      <c r="C10" s="334" t="s">
        <v>58</v>
      </c>
      <c r="D10" s="338"/>
      <c r="E10" s="338"/>
      <c r="F10" s="338"/>
      <c r="G10" s="338"/>
      <c r="H10" s="338"/>
      <c r="I10" s="338"/>
      <c r="J10" s="338"/>
      <c r="K10" s="338"/>
      <c r="L10" s="338"/>
      <c r="M10" s="338"/>
      <c r="N10" s="338"/>
      <c r="O10" s="26"/>
    </row>
    <row r="11" spans="1:15" s="32" customFormat="1" x14ac:dyDescent="0.2">
      <c r="A11" s="29" t="s">
        <v>46</v>
      </c>
      <c r="B11" s="82" t="s">
        <v>46</v>
      </c>
      <c r="C11" s="334" t="s">
        <v>54</v>
      </c>
      <c r="D11" s="338"/>
      <c r="E11" s="338"/>
      <c r="F11" s="338"/>
      <c r="G11" s="338"/>
      <c r="H11" s="338"/>
      <c r="I11" s="338"/>
      <c r="J11" s="338"/>
      <c r="K11" s="338"/>
      <c r="L11" s="338"/>
      <c r="M11" s="338"/>
      <c r="N11" s="338"/>
      <c r="O11" s="26"/>
    </row>
    <row r="12" spans="1:15" s="21" customFormat="1" ht="14.25" customHeight="1" x14ac:dyDescent="0.2">
      <c r="A12" s="29" t="s">
        <v>47</v>
      </c>
      <c r="B12" s="82" t="s">
        <v>47</v>
      </c>
      <c r="C12" s="334" t="s">
        <v>55</v>
      </c>
      <c r="D12" s="338"/>
      <c r="E12" s="338"/>
      <c r="F12" s="338"/>
      <c r="G12" s="338"/>
      <c r="H12" s="338"/>
      <c r="I12" s="338"/>
      <c r="J12" s="338"/>
      <c r="K12" s="338"/>
      <c r="L12" s="338"/>
      <c r="M12" s="338"/>
      <c r="N12" s="338"/>
      <c r="O12" s="26"/>
    </row>
    <row r="13" spans="1:15" s="32" customFormat="1" ht="14.25" customHeight="1" x14ac:dyDescent="0.2">
      <c r="A13" s="29" t="s">
        <v>48</v>
      </c>
      <c r="B13" s="82" t="s">
        <v>48</v>
      </c>
      <c r="C13" s="334" t="s">
        <v>3</v>
      </c>
      <c r="D13" s="338"/>
      <c r="E13" s="338"/>
      <c r="F13" s="338"/>
      <c r="G13" s="338"/>
      <c r="H13" s="338"/>
      <c r="I13" s="338"/>
      <c r="J13" s="338"/>
      <c r="K13" s="338"/>
      <c r="L13" s="338"/>
      <c r="M13" s="338"/>
      <c r="N13" s="338"/>
      <c r="O13" s="26"/>
    </row>
    <row r="14" spans="1:15" s="32" customFormat="1" ht="15" customHeight="1" x14ac:dyDescent="0.2">
      <c r="A14" s="29" t="s">
        <v>49</v>
      </c>
      <c r="B14" s="82" t="s">
        <v>49</v>
      </c>
      <c r="C14" s="334" t="s">
        <v>2</v>
      </c>
      <c r="D14" s="338"/>
      <c r="E14" s="338"/>
      <c r="F14" s="338"/>
      <c r="G14" s="338"/>
      <c r="H14" s="338"/>
      <c r="I14" s="338"/>
      <c r="J14" s="338"/>
      <c r="K14" s="338"/>
      <c r="L14" s="338"/>
      <c r="M14" s="338"/>
      <c r="N14" s="338"/>
      <c r="O14" s="26"/>
    </row>
    <row r="15" spans="1:15" s="32" customFormat="1" ht="30" customHeight="1" x14ac:dyDescent="0.2">
      <c r="A15" s="29" t="s">
        <v>50</v>
      </c>
      <c r="B15" s="82" t="s">
        <v>50</v>
      </c>
      <c r="C15" s="339" t="s">
        <v>97</v>
      </c>
      <c r="D15" s="339"/>
      <c r="E15" s="339"/>
      <c r="F15" s="339"/>
      <c r="G15" s="339"/>
      <c r="H15" s="339"/>
      <c r="I15" s="339"/>
      <c r="J15" s="339"/>
      <c r="K15" s="339"/>
      <c r="L15" s="339"/>
      <c r="M15" s="339"/>
      <c r="N15" s="339"/>
      <c r="O15" s="26"/>
    </row>
    <row r="16" spans="1:15" s="32" customFormat="1" ht="29.1" customHeight="1" x14ac:dyDescent="0.2">
      <c r="A16" s="29" t="s">
        <v>51</v>
      </c>
      <c r="B16" s="82" t="s">
        <v>51</v>
      </c>
      <c r="C16" s="334" t="s">
        <v>4</v>
      </c>
      <c r="D16" s="338"/>
      <c r="E16" s="338"/>
      <c r="F16" s="338"/>
      <c r="G16" s="338"/>
      <c r="H16" s="338"/>
      <c r="I16" s="338"/>
      <c r="J16" s="338"/>
      <c r="K16" s="338"/>
      <c r="L16" s="338"/>
      <c r="M16" s="338"/>
      <c r="N16" s="338"/>
      <c r="O16" s="26"/>
    </row>
    <row r="17" spans="1:19" s="21" customFormat="1" ht="29.25" customHeight="1" x14ac:dyDescent="0.2">
      <c r="A17" s="29" t="s">
        <v>52</v>
      </c>
      <c r="B17" s="82" t="s">
        <v>52</v>
      </c>
      <c r="C17" s="334" t="s">
        <v>86</v>
      </c>
      <c r="D17" s="335"/>
      <c r="E17" s="335"/>
      <c r="F17" s="335"/>
      <c r="G17" s="335"/>
      <c r="H17" s="335"/>
      <c r="I17" s="335"/>
      <c r="J17" s="335"/>
      <c r="K17" s="335"/>
      <c r="L17" s="335"/>
      <c r="M17" s="335"/>
      <c r="N17" s="335"/>
      <c r="O17" s="26"/>
    </row>
    <row r="18" spans="1:19" s="32" customFormat="1" ht="27" customHeight="1" x14ac:dyDescent="0.2">
      <c r="A18" s="29" t="s">
        <v>1</v>
      </c>
      <c r="B18" s="82" t="s">
        <v>6</v>
      </c>
      <c r="C18" s="334" t="s">
        <v>101</v>
      </c>
      <c r="D18" s="338"/>
      <c r="E18" s="338"/>
      <c r="F18" s="338"/>
      <c r="G18" s="338"/>
      <c r="H18" s="338"/>
      <c r="I18" s="338"/>
      <c r="J18" s="338"/>
      <c r="K18" s="338"/>
      <c r="L18" s="338"/>
      <c r="M18" s="338"/>
      <c r="N18" s="338"/>
      <c r="O18" s="96"/>
    </row>
    <row r="19" spans="1:19" s="32" customFormat="1" ht="27" customHeight="1" x14ac:dyDescent="0.2">
      <c r="A19" s="29" t="s">
        <v>5</v>
      </c>
      <c r="B19" s="82" t="s">
        <v>1</v>
      </c>
      <c r="C19" s="336" t="s">
        <v>56</v>
      </c>
      <c r="D19" s="336"/>
      <c r="E19" s="336"/>
      <c r="F19" s="336"/>
      <c r="G19" s="336"/>
      <c r="H19" s="336"/>
      <c r="I19" s="336"/>
      <c r="J19" s="336"/>
      <c r="K19" s="336"/>
      <c r="L19" s="336"/>
      <c r="M19" s="336"/>
      <c r="N19" s="336"/>
      <c r="O19" s="96"/>
    </row>
    <row r="20" spans="1:19" ht="31.5" customHeight="1" x14ac:dyDescent="0.2">
      <c r="B20" s="82" t="s">
        <v>5</v>
      </c>
      <c r="C20" s="334" t="s">
        <v>114</v>
      </c>
      <c r="D20" s="335"/>
      <c r="E20" s="335"/>
      <c r="F20" s="335"/>
      <c r="G20" s="335"/>
      <c r="H20" s="335"/>
      <c r="I20" s="335"/>
      <c r="J20" s="335"/>
      <c r="K20" s="335"/>
      <c r="L20" s="335"/>
      <c r="M20" s="335"/>
      <c r="N20" s="335"/>
      <c r="S20" s="24"/>
    </row>
    <row r="21" spans="1:19" x14ac:dyDescent="0.2">
      <c r="S21" s="24"/>
    </row>
    <row r="22" spans="1:19" x14ac:dyDescent="0.2">
      <c r="S22" s="24"/>
    </row>
    <row r="23" spans="1:19" x14ac:dyDescent="0.2">
      <c r="S23" s="24"/>
    </row>
    <row r="24" spans="1:19" x14ac:dyDescent="0.2">
      <c r="S24" s="24"/>
    </row>
    <row r="25" spans="1:19" x14ac:dyDescent="0.2">
      <c r="S25" s="24"/>
    </row>
    <row r="26" spans="1:19" x14ac:dyDescent="0.2">
      <c r="S26" s="24"/>
    </row>
    <row r="27" spans="1:19" x14ac:dyDescent="0.2">
      <c r="S27" s="24"/>
    </row>
    <row r="28" spans="1:19" x14ac:dyDescent="0.2">
      <c r="S28" s="24"/>
    </row>
    <row r="29" spans="1:19" x14ac:dyDescent="0.2">
      <c r="S29" s="24"/>
    </row>
    <row r="30" spans="1:19" x14ac:dyDescent="0.2">
      <c r="S30" s="24"/>
    </row>
    <row r="31" spans="1:19" x14ac:dyDescent="0.2">
      <c r="S31" s="24"/>
    </row>
    <row r="32" spans="1: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row r="63" spans="19:19" x14ac:dyDescent="0.2">
      <c r="S63" s="24"/>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5">
    <mergeCell ref="C20:N20"/>
    <mergeCell ref="C19:N19"/>
    <mergeCell ref="B5:C5"/>
    <mergeCell ref="C9:N9"/>
    <mergeCell ref="C7:N7"/>
    <mergeCell ref="C8:N8"/>
    <mergeCell ref="C10:N10"/>
    <mergeCell ref="C11:N11"/>
    <mergeCell ref="C12:N12"/>
    <mergeCell ref="C13:N13"/>
    <mergeCell ref="C14:N14"/>
    <mergeCell ref="C15:N15"/>
    <mergeCell ref="C16:N16"/>
    <mergeCell ref="C17:N17"/>
    <mergeCell ref="C18:N18"/>
  </mergeCells>
  <phoneticPr fontId="15"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57" customWidth="1"/>
    <col min="2" max="3" width="2.28515625" style="57" customWidth="1"/>
    <col min="4" max="5" width="10.7109375" style="57" customWidth="1"/>
    <col min="6" max="6" width="8.7109375" style="57" customWidth="1"/>
    <col min="7" max="11" width="17.140625" style="57" customWidth="1"/>
    <col min="12" max="12" width="15.85546875" style="57" customWidth="1"/>
    <col min="13" max="16384" width="9.140625" style="57"/>
  </cols>
  <sheetData>
    <row r="1" spans="1:12" s="58" customFormat="1" ht="42.75" customHeight="1" x14ac:dyDescent="0.2">
      <c r="A1" s="57" t="s">
        <v>21</v>
      </c>
      <c r="B1" s="57"/>
      <c r="D1" s="59"/>
      <c r="E1" s="57"/>
      <c r="F1" s="57"/>
      <c r="G1" s="57"/>
      <c r="I1" s="60"/>
      <c r="J1" s="57"/>
      <c r="K1" s="57"/>
      <c r="L1" s="57"/>
    </row>
    <row r="2" spans="1:12" s="58" customFormat="1" ht="40.5" customHeight="1" x14ac:dyDescent="0.2">
      <c r="A2" s="57"/>
      <c r="B2" s="57"/>
      <c r="D2" s="59"/>
      <c r="E2" s="57"/>
      <c r="F2" s="57"/>
      <c r="G2" s="57"/>
      <c r="I2" s="60"/>
      <c r="J2" s="57"/>
      <c r="K2" s="57"/>
      <c r="L2" s="57"/>
    </row>
    <row r="3" spans="1:12" s="61" customFormat="1" ht="27.75" customHeight="1" x14ac:dyDescent="0.25">
      <c r="A3" s="340" t="s">
        <v>34</v>
      </c>
      <c r="B3" s="340"/>
      <c r="C3" s="340"/>
      <c r="D3" s="340"/>
      <c r="E3" s="340"/>
      <c r="F3" s="340"/>
      <c r="G3" s="340"/>
      <c r="H3" s="340"/>
      <c r="I3" s="340"/>
      <c r="J3" s="340"/>
      <c r="K3" s="340"/>
      <c r="L3" s="340"/>
    </row>
    <row r="4" spans="1:12" s="58" customFormat="1" x14ac:dyDescent="0.2">
      <c r="A4" s="57"/>
      <c r="B4" s="57"/>
      <c r="C4" s="62"/>
      <c r="D4" s="57"/>
      <c r="E4" s="57"/>
      <c r="F4" s="57"/>
      <c r="G4" s="57"/>
      <c r="H4" s="57"/>
      <c r="I4" s="57"/>
      <c r="J4" s="57"/>
      <c r="K4" s="57"/>
      <c r="L4" s="57"/>
    </row>
    <row r="5" spans="1:12" s="58" customFormat="1" x14ac:dyDescent="0.2">
      <c r="A5" s="63"/>
      <c r="B5" s="63"/>
      <c r="C5" s="63"/>
      <c r="D5" s="63"/>
      <c r="E5" s="63"/>
      <c r="F5" s="63"/>
      <c r="G5" s="63"/>
      <c r="H5" s="63"/>
      <c r="I5" s="63"/>
      <c r="J5" s="63"/>
      <c r="K5" s="63"/>
      <c r="L5" s="63"/>
    </row>
    <row r="6" spans="1:12" s="58" customFormat="1" x14ac:dyDescent="0.2">
      <c r="A6" s="57"/>
      <c r="B6" s="57"/>
      <c r="C6" s="57"/>
      <c r="D6" s="57"/>
      <c r="E6" s="57"/>
      <c r="F6" s="57"/>
      <c r="G6" s="57"/>
      <c r="H6" s="57"/>
      <c r="I6" s="57"/>
      <c r="J6" s="57"/>
      <c r="K6" s="57"/>
      <c r="L6" s="57"/>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Cover</vt:lpstr>
      <vt:lpstr>Report</vt:lpstr>
      <vt:lpstr>Footnotes</vt:lpstr>
      <vt:lpstr>Disclaimers&amp;Definitions </vt:lpstr>
      <vt:lpstr>Cover!Print_Area</vt:lpstr>
      <vt:lpstr>'Disclaimers&amp;Definitions '!Print_Area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Pam Easton</cp:lastModifiedBy>
  <cp:lastPrinted>2014-11-11T21:42:54Z</cp:lastPrinted>
  <dcterms:created xsi:type="dcterms:W3CDTF">1999-09-27T19:46:10Z</dcterms:created>
  <dcterms:modified xsi:type="dcterms:W3CDTF">2014-11-18T21:00:34Z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