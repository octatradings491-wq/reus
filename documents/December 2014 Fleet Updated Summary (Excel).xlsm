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450" yWindow="270" windowWidth="18285" windowHeight="10770" tabRatio="491" activeTab="1"/>
  </bookViews>
  <sheets>
    <sheet name="Cover" sheetId="8" r:id="rId1"/>
    <sheet name="Report" sheetId="11" r:id="rId2"/>
    <sheet name="Footnotes" sheetId="2" r:id="rId3"/>
    <sheet name="Disclaimers&amp;Definitions " sheetId="9" r:id="rId4"/>
  </sheets>
  <externalReferences>
    <externalReference r:id="rId5"/>
  </externalReference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Footnotes!$B$1:$N$19</definedName>
    <definedName name="_xlnm.Print_Area" localSheetId="1">Report!$A$1:$W$42</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Footnotes!$C$1:$N$17</definedName>
    <definedName name="Z_2B5E9AF3_7E15_4FFC_BC57_F18A8661CB86_.wvu.PrintArea" localSheetId="1" hidden="1">Report!$A$1:$M$41</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Footnotes!$C$1:$N$17</definedName>
    <definedName name="Z_6B3EFEE6_6D4B_487B_9131_15FDA5ABAE22_.wvu.PrintArea" localSheetId="1" hidden="1">Report!$A$1:$M$41</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B3" i="2" l="1"/>
  <c r="B2" i="2" l="1"/>
  <c r="J14" i="11" l="1"/>
  <c r="R13" i="11"/>
  <c r="Q13" i="11"/>
  <c r="P13" i="11"/>
  <c r="O13" i="11"/>
  <c r="J28" i="11"/>
  <c r="M31" i="11" l="1"/>
  <c r="J31" i="11"/>
  <c r="M30" i="11"/>
  <c r="J30" i="11"/>
</calcChain>
</file>

<file path=xl/sharedStrings.xml><?xml version="1.0" encoding="utf-8"?>
<sst xmlns="http://schemas.openxmlformats.org/spreadsheetml/2006/main" count="190" uniqueCount="111">
  <si>
    <t>1971/2000</t>
  </si>
  <si>
    <t>(17)</t>
  </si>
  <si>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</si>
  <si>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</si>
  <si>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</si>
  <si>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Discoverer Seven Seas</t>
  </si>
  <si>
    <t>Rig Type/Name</t>
  </si>
  <si>
    <t>Water</t>
  </si>
  <si>
    <t>Depth</t>
  </si>
  <si>
    <t>Service</t>
  </si>
  <si>
    <t>1976/1997</t>
  </si>
  <si>
    <t>Location</t>
  </si>
  <si>
    <t>USGOM</t>
  </si>
  <si>
    <t>Brazil</t>
  </si>
  <si>
    <t>Petrobras</t>
  </si>
  <si>
    <t>Nigeria</t>
  </si>
  <si>
    <t>Shell</t>
  </si>
  <si>
    <t>Australia</t>
  </si>
  <si>
    <t>Angola</t>
  </si>
  <si>
    <t>India</t>
  </si>
  <si>
    <t>N/A</t>
  </si>
  <si>
    <t>Jack Bates</t>
  </si>
  <si>
    <t>1986/1997</t>
  </si>
  <si>
    <t xml:space="preserve"> </t>
  </si>
  <si>
    <t>ship</t>
  </si>
  <si>
    <t>semi</t>
  </si>
  <si>
    <t>Floater</t>
  </si>
  <si>
    <t>Type</t>
  </si>
  <si>
    <t>Reliance</t>
  </si>
  <si>
    <t>ExxonMobil</t>
  </si>
  <si>
    <t>«</t>
  </si>
  <si>
    <t>Entered</t>
  </si>
  <si>
    <t>Estimated</t>
  </si>
  <si>
    <t>(Feet)</t>
  </si>
  <si>
    <t>(Dollars)</t>
  </si>
  <si>
    <t>GSF Explorer</t>
  </si>
  <si>
    <t>1972/1998</t>
  </si>
  <si>
    <t>1982/1998</t>
  </si>
  <si>
    <t>Footnotes</t>
  </si>
  <si>
    <t>DISCLAIMERS &amp; DEFINITIONS</t>
  </si>
  <si>
    <t>Customer</t>
  </si>
  <si>
    <t>Dayrate on</t>
  </si>
  <si>
    <t>GSF Celtic Sea</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</si>
  <si>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</si>
  <si>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</si>
  <si>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</si>
  <si>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</si>
  <si>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</si>
  <si>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</si>
  <si>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</si>
  <si>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</si>
  <si>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</si>
  <si>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</si>
  <si>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</si>
  <si>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</si>
  <si>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</si>
  <si>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</si>
  <si>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</si>
  <si>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</si>
  <si>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While the customer has the option to add any out of service days to the end of the contract, the Estimated Expiration Date does not reflect any extension due to this option until actually exercised by the customer.</t>
  </si>
  <si>
    <t>ENI</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</si>
  <si>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</si>
  <si>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</si>
  <si>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</si>
  <si>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</si>
  <si>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</si>
  <si>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</si>
  <si>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</si>
  <si>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</si>
  <si>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</si>
  <si>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</si>
  <si>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</si>
  <si>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High Specification Floater: Ultra-Deepwater</t>
  </si>
  <si>
    <t>Deepwater Expedition</t>
  </si>
  <si>
    <t>Dhirubhai Deepwater KG1</t>
  </si>
  <si>
    <t>Dhirubhai Deepwater KG2</t>
  </si>
  <si>
    <t>Deepwater Nautilus</t>
  </si>
  <si>
    <t>GSF Development Driller I</t>
  </si>
  <si>
    <t>Sedco Express</t>
  </si>
  <si>
    <t>Deepwater Navigator</t>
  </si>
  <si>
    <t>Sedco 707</t>
  </si>
  <si>
    <t>Revisions Noted in Bold</t>
  </si>
  <si>
    <t>Q4</t>
  </si>
  <si>
    <t>Q1</t>
  </si>
  <si>
    <t>Q2</t>
  </si>
  <si>
    <t>Q3</t>
  </si>
  <si>
    <t>Prev</t>
  </si>
  <si>
    <t>(6), (8)</t>
  </si>
  <si>
    <t>High Specification Floater: Deepwater</t>
  </si>
  <si>
    <t>Fixed-Price Options - See Footnote 10</t>
  </si>
  <si>
    <r>
      <t xml:space="preserve">Estimated Out of Service Days </t>
    </r>
    <r>
      <rPr>
        <b/>
        <vertAlign val="superscript"/>
        <sz val="10"/>
        <color theme="0"/>
        <rFont val="Arial"/>
        <family val="2"/>
      </rPr>
      <t>(4)</t>
    </r>
  </si>
  <si>
    <t>Idle</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</si>
  <si>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</si>
  <si>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</si>
  <si>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</si>
  <si>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</si>
  <si>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Vaalco</t>
  </si>
  <si>
    <t xml:space="preserve">Estimated Contract Start and Estimated Expiration Dates are calculated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</si>
  <si>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 xml:space="preserve">  (6), (7), (8) </t>
  </si>
  <si>
    <t>Inpex</t>
  </si>
  <si>
    <t>JPDA</t>
  </si>
  <si>
    <t>CAMAC</t>
  </si>
  <si>
    <t xml:space="preserve"> (7), (8), (11)</t>
  </si>
  <si>
    <t>(7), (8)</t>
  </si>
  <si>
    <t>Updated: December 18, 2014</t>
  </si>
  <si>
    <t>(12)</t>
  </si>
  <si>
    <t>Deepwater Pathfinder</t>
  </si>
  <si>
    <t xml:space="preserve"> -   </t>
  </si>
  <si>
    <t>(13)</t>
  </si>
  <si>
    <t>At the customer's discretion, the fixed priced option can be either three or five months.</t>
  </si>
  <si>
    <t>ENI has repudiated the contract.  Transocean is contesting the termination, and it is taking legal action to recover its lost profits.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</si>
</sst>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99">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9"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9" fontId="19"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35" fillId="0" borderId="0" applyFont="0" applyFill="0" applyBorder="0" applyAlignment="0" applyProtection="0"/>
    <xf numFmtId="0" fontId="5" fillId="0" borderId="0"/>
    <xf numFmtId="0" fontId="35" fillId="0" borderId="0"/>
    <xf numFmtId="9" fontId="35" fillId="0" borderId="0" applyFont="0" applyFill="0" applyBorder="0" applyAlignment="0" applyProtection="0"/>
    <xf numFmtId="41" fontId="6" fillId="8" borderId="0" applyNumberFormat="0" applyFont="0" applyBorder="0" applyAlignment="0" applyProtection="0"/>
    <xf numFmtId="0" fontId="36" fillId="0" borderId="0" applyNumberFormat="0" applyFill="0" applyBorder="0" applyAlignment="0" applyProtection="0"/>
    <xf numFmtId="0" fontId="37" fillId="0" borderId="2">
      <alignment horizontal="left" vertical="center"/>
    </xf>
    <xf numFmtId="168" fontId="6" fillId="0" borderId="0"/>
    <xf numFmtId="0" fontId="37" fillId="0" borderId="16" applyNumberFormat="0" applyAlignment="0" applyProtection="0">
      <alignment horizontal="left" vertical="center"/>
    </xf>
    <xf numFmtId="43" fontId="5" fillId="0" borderId="0" applyFont="0" applyFill="0" applyBorder="0" applyAlignment="0" applyProtection="0"/>
    <xf numFmtId="44" fontId="35" fillId="0" borderId="0" applyFont="0" applyFill="0" applyBorder="0" applyAlignment="0" applyProtection="0"/>
    <xf numFmtId="43" fontId="5" fillId="0" borderId="0" applyFont="0" applyFill="0" applyBorder="0" applyAlignment="0" applyProtection="0"/>
    <xf numFmtId="37" fontId="38" fillId="0" borderId="0"/>
    <xf numFmtId="0" fontId="5" fillId="0" borderId="0"/>
    <xf numFmtId="49" fontId="39" fillId="0" borderId="0" applyFill="0" applyBorder="0" applyProtection="0">
      <alignment horizontal="left"/>
    </xf>
    <xf numFmtId="0" fontId="5" fillId="0" borderId="0"/>
    <xf numFmtId="0" fontId="5" fillId="0" borderId="0"/>
    <xf numFmtId="0" fontId="6" fillId="0" borderId="0"/>
    <xf numFmtId="0" fontId="6" fillId="0" borderId="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3" fillId="0" borderId="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27">
    <xf numFmtId="0" fontId="0" fillId="0" borderId="0" xfId="0"/>
    <xf numFmtId="0" fontId="8" fillId="0" borderId="0" xfId="0" applyFont="1" applyFill="1" applyBorder="1" applyAlignment="1">
      <alignment horizontal="center" vertical="top"/>
    </xf>
    <xf numFmtId="0" fontId="8" fillId="0" borderId="0" xfId="0" applyFont="1" applyFill="1" applyBorder="1" applyAlignment="1">
      <alignment vertical="top"/>
    </xf>
    <xf numFmtId="3" fontId="8" fillId="0" borderId="0" xfId="0" applyNumberFormat="1" applyFont="1" applyFill="1" applyBorder="1" applyAlignment="1">
      <alignment horizontal="center" vertical="top"/>
    </xf>
    <xf numFmtId="0" fontId="7" fillId="0" borderId="0" xfId="0" applyFont="1" applyFill="1" applyBorder="1" applyAlignment="1">
      <alignment horizontal="center"/>
    </xf>
    <xf numFmtId="0" fontId="7" fillId="0" borderId="0" xfId="0" applyFont="1" applyFill="1" applyBorder="1"/>
    <xf numFmtId="0" fontId="11" fillId="0" borderId="0" xfId="0" applyFont="1" applyFill="1"/>
    <xf numFmtId="0" fontId="6" fillId="0" borderId="0" xfId="0" applyFont="1" applyFill="1"/>
    <xf numFmtId="0" fontId="8" fillId="0" borderId="0" xfId="0" applyFont="1" applyFill="1" applyAlignment="1">
      <alignment vertical="center"/>
    </xf>
    <xf numFmtId="0" fontId="8" fillId="0" borderId="0" xfId="0" applyFont="1" applyFill="1" applyAlignment="1">
      <alignment horizontal="left"/>
    </xf>
    <xf numFmtId="165" fontId="11" fillId="0" borderId="0" xfId="0" applyNumberFormat="1" applyFont="1" applyFill="1" applyAlignment="1">
      <alignment vertical="center"/>
    </xf>
    <xf numFmtId="0" fontId="15" fillId="0" borderId="0" xfId="0" applyFont="1" applyFill="1" applyBorder="1" applyAlignment="1">
      <alignment vertical="top"/>
    </xf>
    <xf numFmtId="3" fontId="8" fillId="0" borderId="2" xfId="2" applyNumberFormat="1" applyFont="1" applyFill="1" applyBorder="1" applyAlignment="1">
      <alignment horizontal="center" vertical="top"/>
    </xf>
    <xf numFmtId="0" fontId="8" fillId="0" borderId="2" xfId="2" applyFont="1" applyFill="1" applyBorder="1" applyAlignment="1">
      <alignment horizontal="center" vertical="top" wrapText="1"/>
    </xf>
    <xf numFmtId="0" fontId="8" fillId="0" borderId="2" xfId="2" applyFont="1" applyFill="1" applyBorder="1" applyAlignment="1">
      <alignment horizontal="center" vertical="top"/>
    </xf>
    <xf numFmtId="0" fontId="10" fillId="0" borderId="2" xfId="2" applyFont="1" applyFill="1" applyBorder="1" applyAlignment="1">
      <alignment horizontal="center" vertical="top"/>
    </xf>
    <xf numFmtId="1" fontId="8" fillId="0" borderId="2" xfId="2" applyNumberFormat="1" applyFont="1" applyFill="1" applyBorder="1" applyAlignment="1">
      <alignment horizontal="center" vertical="top"/>
    </xf>
    <xf numFmtId="17" fontId="8" fillId="0" borderId="2" xfId="2" applyNumberFormat="1" applyFont="1" applyFill="1" applyBorder="1" applyAlignment="1">
      <alignment horizontal="center" vertical="top" wrapText="1"/>
    </xf>
    <xf numFmtId="17" fontId="8" fillId="0" borderId="2" xfId="2" applyNumberFormat="1" applyFont="1" applyFill="1" applyBorder="1" applyAlignment="1">
      <alignment horizontal="right" vertical="top" wrapText="1"/>
    </xf>
    <xf numFmtId="164" fontId="15" fillId="0" borderId="2" xfId="2" applyNumberFormat="1" applyFont="1" applyFill="1" applyBorder="1" applyAlignment="1">
      <alignment horizontal="right" vertical="top" wrapText="1"/>
    </xf>
    <xf numFmtId="164" fontId="8" fillId="0" borderId="2" xfId="2" applyNumberFormat="1" applyFont="1" applyFill="1" applyBorder="1" applyAlignment="1">
      <alignment horizontal="right" vertical="top" wrapText="1"/>
    </xf>
    <xf numFmtId="0" fontId="6" fillId="0" borderId="0" xfId="0" applyFont="1"/>
    <xf numFmtId="0" fontId="6" fillId="0" borderId="0" xfId="0" applyFont="1" applyFill="1" applyAlignment="1">
      <alignment vertical="top" wrapText="1"/>
    </xf>
    <xf numFmtId="0" fontId="6" fillId="0" borderId="0" xfId="0" applyFont="1" applyFill="1" applyBorder="1" applyAlignment="1">
      <alignment vertical="top" wrapText="1"/>
    </xf>
    <xf numFmtId="0" fontId="0" fillId="0" borderId="0" xfId="0" applyFill="1"/>
    <xf numFmtId="0" fontId="17" fillId="0" borderId="0" xfId="0" applyFont="1" applyFill="1" applyAlignment="1">
      <alignment vertical="top" wrapText="1"/>
    </xf>
    <xf numFmtId="0" fontId="17"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165" fontId="8" fillId="0" borderId="0" xfId="0" quotePrefix="1" applyNumberFormat="1" applyFont="1" applyFill="1" applyAlignment="1">
      <alignment vertical="center"/>
    </xf>
    <xf numFmtId="0" fontId="7" fillId="0" borderId="0" xfId="0" quotePrefix="1" applyFont="1" applyFill="1" applyAlignment="1">
      <alignment vertical="center"/>
    </xf>
    <xf numFmtId="0" fontId="6" fillId="0" borderId="0" xfId="0" applyFont="1" applyAlignment="1">
      <alignment wrapText="1"/>
    </xf>
    <xf numFmtId="0" fontId="20" fillId="0" borderId="0" xfId="0" applyFont="1"/>
    <xf numFmtId="0" fontId="17" fillId="0" borderId="0" xfId="0" applyFont="1" applyFill="1"/>
    <xf numFmtId="0" fontId="6" fillId="0" borderId="0" xfId="0" applyFont="1" applyFill="1" applyAlignment="1">
      <alignment vertical="center"/>
    </xf>
    <xf numFmtId="0" fontId="6" fillId="0" borderId="0" xfId="0" applyFont="1" applyFill="1" applyAlignment="1">
      <alignment horizontal="left"/>
    </xf>
    <xf numFmtId="14" fontId="6" fillId="0" borderId="0" xfId="0" applyNumberFormat="1" applyFont="1" applyFill="1"/>
    <xf numFmtId="167" fontId="6" fillId="0" borderId="1" xfId="4" applyNumberFormat="1" applyFont="1" applyFill="1" applyBorder="1" applyAlignment="1">
      <alignment vertical="top"/>
    </xf>
    <xf numFmtId="0" fontId="21" fillId="3" borderId="10" xfId="0" quotePrefix="1" applyFont="1" applyFill="1" applyBorder="1" applyAlignment="1"/>
    <xf numFmtId="0" fontId="22" fillId="3" borderId="8" xfId="0" applyFont="1" applyFill="1" applyBorder="1" applyAlignment="1"/>
    <xf numFmtId="0" fontId="23" fillId="3" borderId="3" xfId="0" applyFont="1" applyFill="1" applyBorder="1" applyAlignment="1">
      <alignment vertical="top"/>
    </xf>
    <xf numFmtId="0" fontId="24" fillId="3" borderId="3" xfId="0" applyFont="1" applyFill="1" applyBorder="1" applyAlignment="1">
      <alignment horizontal="center" vertical="top" wrapText="1"/>
    </xf>
    <xf numFmtId="0" fontId="24" fillId="3" borderId="3" xfId="0" applyFont="1" applyFill="1" applyBorder="1" applyAlignment="1">
      <alignment horizontal="center"/>
    </xf>
    <xf numFmtId="0" fontId="26" fillId="3" borderId="3" xfId="0" applyFont="1" applyFill="1" applyBorder="1" applyAlignment="1">
      <alignment vertical="top"/>
    </xf>
    <xf numFmtId="0" fontId="26" fillId="3" borderId="0" xfId="0" applyFont="1" applyFill="1" applyBorder="1" applyAlignment="1">
      <alignment vertical="top"/>
    </xf>
    <xf numFmtId="0" fontId="24" fillId="3" borderId="0" xfId="0" applyFont="1" applyFill="1" applyBorder="1" applyAlignment="1">
      <alignment horizontal="center"/>
    </xf>
    <xf numFmtId="0" fontId="24" fillId="3" borderId="1" xfId="0" applyFont="1" applyFill="1" applyBorder="1" applyAlignment="1">
      <alignment horizontal="center" vertical="top" wrapText="1"/>
    </xf>
    <xf numFmtId="0" fontId="26" fillId="3" borderId="1" xfId="0" applyFont="1" applyFill="1" applyBorder="1" applyAlignment="1">
      <alignment horizontal="center" vertical="top" wrapText="1"/>
    </xf>
    <xf numFmtId="0" fontId="24" fillId="3" borderId="1" xfId="0" applyFont="1" applyFill="1" applyBorder="1" applyAlignment="1">
      <alignment horizontal="center"/>
    </xf>
    <xf numFmtId="0" fontId="24" fillId="3" borderId="7" xfId="0" applyFont="1" applyFill="1" applyBorder="1" applyAlignment="1"/>
    <xf numFmtId="0" fontId="24" fillId="3" borderId="0" xfId="0" applyFont="1" applyFill="1" applyBorder="1" applyAlignment="1">
      <alignment horizontal="center" wrapText="1"/>
    </xf>
    <xf numFmtId="167" fontId="24" fillId="3" borderId="1" xfId="4" applyNumberFormat="1" applyFont="1" applyFill="1" applyBorder="1" applyAlignment="1">
      <alignment horizontal="center" vertical="top" wrapText="1"/>
    </xf>
    <xf numFmtId="0" fontId="24" fillId="3" borderId="11" xfId="0" applyFont="1" applyFill="1" applyBorder="1" applyAlignment="1">
      <alignment horizontal="center" vertical="top" wrapText="1"/>
    </xf>
    <xf numFmtId="167" fontId="6" fillId="5" borderId="0" xfId="4" applyNumberFormat="1" applyFont="1" applyFill="1" applyBorder="1" applyAlignment="1">
      <alignment vertical="top"/>
    </xf>
    <xf numFmtId="0" fontId="7" fillId="0" borderId="14" xfId="0" applyFont="1" applyFill="1" applyBorder="1"/>
    <xf numFmtId="49" fontId="24" fillId="3" borderId="13" xfId="0" applyNumberFormat="1" applyFont="1" applyFill="1" applyBorder="1" applyAlignment="1">
      <alignment horizontal="center" vertical="top"/>
    </xf>
    <xf numFmtId="49" fontId="24" fillId="3" borderId="14" xfId="0" applyNumberFormat="1" applyFont="1" applyFill="1" applyBorder="1" applyAlignment="1">
      <alignment horizontal="center" vertical="top" wrapText="1"/>
    </xf>
    <xf numFmtId="0" fontId="24" fillId="3" borderId="15" xfId="0" applyFont="1" applyFill="1" applyBorder="1" applyAlignment="1">
      <alignment horizontal="center" vertical="top" wrapText="1"/>
    </xf>
    <xf numFmtId="0" fontId="6" fillId="0" borderId="0" xfId="0" quotePrefix="1" applyFont="1" applyFill="1" applyAlignment="1">
      <alignment horizontal="left" vertical="center"/>
    </xf>
    <xf numFmtId="0" fontId="28" fillId="0" borderId="0" xfId="16" applyFont="1"/>
    <xf numFmtId="0" fontId="28" fillId="0" borderId="0" xfId="16" applyFont="1" applyFill="1"/>
    <xf numFmtId="0" fontId="28" fillId="0" borderId="0" xfId="0" applyFont="1" applyFill="1" applyAlignment="1"/>
    <xf numFmtId="0" fontId="29" fillId="0" borderId="0" xfId="16" applyFont="1"/>
    <xf numFmtId="0" fontId="28" fillId="6" borderId="0" xfId="16" applyFont="1" applyFill="1"/>
    <xf numFmtId="0" fontId="28" fillId="0" borderId="0" xfId="16" applyFont="1" applyAlignment="1">
      <alignment vertical="center"/>
    </xf>
    <xf numFmtId="0" fontId="28" fillId="0" borderId="0" xfId="16" applyFont="1" applyAlignment="1">
      <alignment vertical="top" wrapText="1"/>
    </xf>
    <xf numFmtId="0" fontId="6" fillId="0" borderId="1" xfId="2" applyFont="1" applyFill="1" applyBorder="1" applyAlignment="1">
      <alignment vertical="top" wrapText="1"/>
    </xf>
    <xf numFmtId="0" fontId="7" fillId="0" borderId="8" xfId="0" applyFont="1" applyFill="1" applyBorder="1"/>
    <xf numFmtId="0" fontId="6" fillId="0" borderId="8" xfId="0" applyFont="1" applyFill="1" applyBorder="1" applyAlignment="1">
      <alignment vertical="top" wrapText="1"/>
    </xf>
    <xf numFmtId="0" fontId="14"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7" fontId="6" fillId="0" borderId="6" xfId="4" applyNumberFormat="1" applyFont="1" applyFill="1" applyBorder="1"/>
    <xf numFmtId="0" fontId="6" fillId="0" borderId="0" xfId="2" applyFont="1" applyFill="1" applyBorder="1" applyAlignment="1">
      <alignment horizontal="center" vertical="top"/>
    </xf>
    <xf numFmtId="1" fontId="6" fillId="0" borderId="0" xfId="2" applyNumberFormat="1" applyFont="1" applyFill="1" applyBorder="1" applyAlignment="1">
      <alignment horizontal="center" vertical="top"/>
    </xf>
    <xf numFmtId="3" fontId="6" fillId="0" borderId="0" xfId="2" applyNumberFormat="1" applyFont="1" applyFill="1" applyBorder="1" applyAlignment="1">
      <alignment horizontal="center" vertical="top"/>
    </xf>
    <xf numFmtId="0" fontId="6" fillId="0" borderId="0" xfId="2"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0" fontId="6" fillId="0" borderId="8" xfId="2" applyFont="1" applyFill="1" applyBorder="1" applyAlignment="1">
      <alignment vertical="top" wrapText="1"/>
    </xf>
    <xf numFmtId="0" fontId="6" fillId="0" borderId="8" xfId="0" applyFont="1" applyFill="1" applyBorder="1" applyAlignment="1">
      <alignment vertical="top"/>
    </xf>
    <xf numFmtId="167" fontId="24" fillId="3" borderId="7" xfId="4" applyNumberFormat="1" applyFont="1" applyFill="1" applyBorder="1" applyAlignment="1">
      <alignment horizontal="center" vertical="top" wrapText="1"/>
    </xf>
    <xf numFmtId="167" fontId="7" fillId="0" borderId="8" xfId="4" applyNumberFormat="1" applyFont="1" applyFill="1" applyBorder="1" applyAlignment="1">
      <alignment horizontal="center" vertical="top"/>
    </xf>
    <xf numFmtId="0" fontId="6" fillId="0" borderId="1" xfId="2" applyFont="1" applyFill="1" applyBorder="1" applyAlignment="1">
      <alignment horizontal="center" vertical="top"/>
    </xf>
    <xf numFmtId="0" fontId="23" fillId="3" borderId="10" xfId="0" applyFont="1" applyFill="1" applyBorder="1" applyAlignment="1">
      <alignment vertical="top"/>
    </xf>
    <xf numFmtId="0" fontId="24" fillId="3" borderId="7" xfId="0" applyFont="1" applyFill="1" applyBorder="1" applyAlignment="1">
      <alignment horizontal="center" vertical="top" wrapText="1"/>
    </xf>
    <xf numFmtId="0" fontId="24" fillId="3" borderId="1" xfId="0" applyFont="1" applyFill="1" applyBorder="1" applyAlignment="1">
      <alignment horizontal="center" vertical="top"/>
    </xf>
    <xf numFmtId="49" fontId="6" fillId="0" borderId="0" xfId="0" applyNumberFormat="1" applyFont="1" applyAlignment="1">
      <alignment horizontal="right" vertical="top" wrapText="1"/>
    </xf>
    <xf numFmtId="0" fontId="30" fillId="4" borderId="1" xfId="0" quotePrefix="1" applyFont="1" applyFill="1" applyBorder="1" applyAlignment="1">
      <alignment vertical="top"/>
    </xf>
    <xf numFmtId="49" fontId="27" fillId="4" borderId="1" xfId="0" quotePrefix="1" applyNumberFormat="1" applyFont="1" applyFill="1" applyBorder="1" applyAlignment="1">
      <alignment vertical="top"/>
    </xf>
    <xf numFmtId="167" fontId="7" fillId="0" borderId="6" xfId="4" applyNumberFormat="1" applyFont="1" applyFill="1" applyBorder="1" applyAlignment="1">
      <alignment horizontal="center" vertical="top"/>
    </xf>
    <xf numFmtId="0" fontId="6" fillId="7" borderId="0" xfId="0" applyFont="1" applyFill="1" applyBorder="1"/>
    <xf numFmtId="3" fontId="6" fillId="0" borderId="0" xfId="3" applyNumberFormat="1" applyFont="1" applyFill="1" applyBorder="1" applyAlignment="1">
      <alignment horizontal="right" vertical="top" wrapText="1"/>
    </xf>
    <xf numFmtId="0" fontId="24" fillId="0" borderId="0" xfId="0" applyFont="1" applyFill="1" applyBorder="1" applyAlignment="1">
      <alignment horizontal="center" wrapText="1"/>
    </xf>
    <xf numFmtId="0" fontId="24" fillId="3" borderId="9" xfId="0" applyFont="1" applyFill="1" applyBorder="1" applyAlignment="1">
      <alignment horizontal="center"/>
    </xf>
    <xf numFmtId="0" fontId="24" fillId="3" borderId="6" xfId="0" applyFont="1" applyFill="1" applyBorder="1" applyAlignment="1">
      <alignment horizontal="center" wrapText="1"/>
    </xf>
    <xf numFmtId="0" fontId="26" fillId="3" borderId="11" xfId="0" applyFont="1" applyFill="1" applyBorder="1" applyAlignment="1">
      <alignment horizontal="center" vertical="top" wrapText="1"/>
    </xf>
    <xf numFmtId="0" fontId="7" fillId="0" borderId="6" xfId="0" applyFont="1" applyFill="1" applyBorder="1" applyAlignment="1">
      <alignment horizontal="center"/>
    </xf>
    <xf numFmtId="164" fontId="6" fillId="0" borderId="6" xfId="2" applyNumberFormat="1" applyFont="1" applyFill="1" applyBorder="1" applyAlignment="1">
      <alignment horizontal="right" vertical="top" wrapText="1"/>
    </xf>
    <xf numFmtId="0" fontId="24" fillId="0" borderId="0" xfId="0" applyFont="1" applyFill="1" applyBorder="1" applyAlignment="1">
      <alignment horizontal="center"/>
    </xf>
    <xf numFmtId="0" fontId="26" fillId="0" borderId="0" xfId="0" applyFont="1" applyFill="1" applyBorder="1" applyAlignment="1">
      <alignment horizontal="center" vertical="top" wrapText="1"/>
    </xf>
    <xf numFmtId="167" fontId="6" fillId="0" borderId="7" xfId="4" applyNumberFormat="1" applyFont="1" applyFill="1" applyBorder="1" applyAlignment="1">
      <alignment vertical="top"/>
    </xf>
    <xf numFmtId="165" fontId="6" fillId="0" borderId="0" xfId="0" applyNumberFormat="1" applyFont="1" applyFill="1" applyAlignment="1">
      <alignment vertical="center"/>
    </xf>
    <xf numFmtId="165" fontId="40" fillId="0" borderId="0" xfId="0" applyNumberFormat="1" applyFont="1" applyFill="1" applyAlignment="1">
      <alignment horizontal="left" vertical="center"/>
    </xf>
    <xf numFmtId="0" fontId="27" fillId="0" borderId="10" xfId="0" applyFont="1" applyFill="1" applyBorder="1" applyAlignment="1">
      <alignment vertical="top"/>
    </xf>
    <xf numFmtId="167" fontId="27" fillId="0" borderId="13" xfId="4" applyNumberFormat="1" applyFont="1" applyFill="1" applyBorder="1" applyAlignment="1">
      <alignment horizontal="right" vertical="top"/>
    </xf>
    <xf numFmtId="49" fontId="27" fillId="0" borderId="3" xfId="0" quotePrefix="1" applyNumberFormat="1" applyFont="1" applyFill="1" applyBorder="1" applyAlignment="1">
      <alignment vertical="top"/>
    </xf>
    <xf numFmtId="0" fontId="30" fillId="0" borderId="3" xfId="0" quotePrefix="1" applyFont="1" applyFill="1" applyBorder="1" applyAlignment="1">
      <alignment vertical="top"/>
    </xf>
    <xf numFmtId="0" fontId="31" fillId="0" borderId="3" xfId="0" quotePrefix="1" applyFont="1" applyFill="1" applyBorder="1" applyAlignment="1">
      <alignment vertical="top"/>
    </xf>
    <xf numFmtId="0" fontId="30" fillId="0" borderId="3" xfId="0" quotePrefix="1" applyFont="1" applyFill="1" applyBorder="1" applyAlignment="1">
      <alignment horizontal="center" vertical="top"/>
    </xf>
    <xf numFmtId="0" fontId="30" fillId="0" borderId="3" xfId="0" quotePrefix="1" applyFont="1" applyFill="1" applyBorder="1" applyAlignment="1">
      <alignment horizontal="right" vertical="top" wrapText="1"/>
    </xf>
    <xf numFmtId="0" fontId="30" fillId="0" borderId="9" xfId="0" quotePrefix="1" applyFont="1" applyFill="1" applyBorder="1" applyAlignment="1">
      <alignment horizontal="right" vertical="top" wrapText="1"/>
    </xf>
    <xf numFmtId="0" fontId="17" fillId="0" borderId="0" xfId="0" applyFont="1" applyAlignment="1">
      <alignment horizontal="left" vertical="top" wrapText="1"/>
    </xf>
    <xf numFmtId="0" fontId="6" fillId="5" borderId="0" xfId="0" applyFont="1" applyFill="1"/>
    <xf numFmtId="167" fontId="6" fillId="0" borderId="11" xfId="4" applyNumberFormat="1" applyFont="1" applyFill="1" applyBorder="1" applyAlignment="1">
      <alignment vertical="top"/>
    </xf>
    <xf numFmtId="0" fontId="6" fillId="5" borderId="0" xfId="0" applyFont="1" applyFill="1" applyBorder="1" applyAlignment="1">
      <alignment horizontal="center" vertical="top" wrapText="1"/>
    </xf>
    <xf numFmtId="0" fontId="14" fillId="5" borderId="0" xfId="3" applyFont="1" applyFill="1" applyBorder="1" applyAlignment="1">
      <alignment horizontal="center" vertical="top"/>
    </xf>
    <xf numFmtId="3" fontId="6" fillId="5" borderId="0" xfId="0" applyNumberFormat="1" applyFont="1" applyFill="1" applyBorder="1" applyAlignment="1">
      <alignment horizontal="center" vertical="top" wrapText="1"/>
    </xf>
    <xf numFmtId="17" fontId="6" fillId="5" borderId="0" xfId="3" applyNumberFormat="1" applyFont="1" applyFill="1" applyBorder="1" applyAlignment="1">
      <alignment horizontal="center" vertical="top" wrapText="1"/>
    </xf>
    <xf numFmtId="167" fontId="6" fillId="5" borderId="6" xfId="4" applyNumberFormat="1" applyFont="1" applyFill="1" applyBorder="1" applyAlignment="1">
      <alignment horizontal="right" vertical="top" wrapText="1"/>
    </xf>
    <xf numFmtId="167" fontId="6" fillId="5" borderId="8" xfId="4" applyNumberFormat="1" applyFont="1" applyFill="1" applyBorder="1" applyAlignment="1">
      <alignment horizontal="center" vertical="top"/>
    </xf>
    <xf numFmtId="167" fontId="6" fillId="5" borderId="0" xfId="4" applyNumberFormat="1" applyFont="1" applyFill="1" applyBorder="1" applyAlignment="1">
      <alignment horizontal="center" vertical="top"/>
    </xf>
    <xf numFmtId="167" fontId="6" fillId="5" borderId="6" xfId="4" applyNumberFormat="1" applyFont="1" applyFill="1" applyBorder="1" applyAlignment="1">
      <alignment horizontal="center" vertical="top"/>
    </xf>
    <xf numFmtId="167" fontId="6" fillId="5" borderId="14" xfId="4" applyNumberFormat="1" applyFont="1" applyFill="1" applyBorder="1" applyAlignment="1">
      <alignment horizontal="right" vertical="top" wrapText="1"/>
    </xf>
    <xf numFmtId="17" fontId="7" fillId="5" borderId="0" xfId="3" applyNumberFormat="1" applyFont="1" applyFill="1" applyBorder="1" applyAlignment="1">
      <alignment horizontal="center" vertical="top" wrapText="1"/>
    </xf>
    <xf numFmtId="17" fontId="7" fillId="0" borderId="0" xfId="2" applyNumberFormat="1" applyFont="1" applyFill="1" applyBorder="1" applyAlignment="1">
      <alignment horizontal="center" vertical="top" wrapText="1"/>
    </xf>
    <xf numFmtId="0" fontId="6" fillId="5" borderId="0" xfId="3" applyFont="1" applyFill="1" applyBorder="1" applyAlignment="1">
      <alignment horizontal="center" vertical="top" wrapText="1"/>
    </xf>
    <xf numFmtId="167" fontId="6" fillId="5" borderId="14" xfId="4" quotePrefix="1" applyNumberFormat="1" applyFont="1" applyFill="1" applyBorder="1" applyAlignment="1">
      <alignment horizontal="right" vertical="top" wrapText="1"/>
    </xf>
    <xf numFmtId="167" fontId="7" fillId="5" borderId="0" xfId="4" applyNumberFormat="1" applyFont="1" applyFill="1" applyBorder="1" applyAlignment="1">
      <alignment horizontal="right" vertical="top" wrapText="1"/>
    </xf>
    <xf numFmtId="0" fontId="24" fillId="0" borderId="0" xfId="0" applyFont="1" applyFill="1" applyBorder="1" applyAlignment="1">
      <alignment horizontal="center" vertical="top"/>
    </xf>
    <xf numFmtId="0" fontId="24" fillId="0" borderId="0" xfId="0" applyFont="1" applyFill="1" applyBorder="1" applyAlignment="1">
      <alignment horizontal="center" vertical="top" wrapText="1"/>
    </xf>
    <xf numFmtId="167" fontId="6" fillId="0" borderId="8" xfId="4" applyNumberFormat="1" applyFont="1" applyFill="1" applyBorder="1"/>
    <xf numFmtId="0" fontId="21" fillId="3" borderId="8" xfId="0" quotePrefix="1" applyFont="1" applyFill="1" applyBorder="1" applyAlignment="1"/>
    <xf numFmtId="49" fontId="24" fillId="3" borderId="14" xfId="0" applyNumberFormat="1" applyFont="1" applyFill="1" applyBorder="1" applyAlignment="1">
      <alignment horizontal="center" vertical="top"/>
    </xf>
    <xf numFmtId="0" fontId="23" fillId="3" borderId="8" xfId="0" applyFont="1" applyFill="1" applyBorder="1" applyAlignment="1">
      <alignment vertical="top"/>
    </xf>
    <xf numFmtId="0" fontId="23" fillId="3" borderId="0" xfId="0" applyFont="1" applyFill="1" applyBorder="1" applyAlignment="1">
      <alignment vertical="top"/>
    </xf>
    <xf numFmtId="0" fontId="24" fillId="3" borderId="0" xfId="0" applyFont="1" applyFill="1" applyBorder="1" applyAlignment="1">
      <alignment horizontal="center" vertical="top" wrapText="1"/>
    </xf>
    <xf numFmtId="0" fontId="24" fillId="3" borderId="6" xfId="0" applyFont="1" applyFill="1" applyBorder="1" applyAlignment="1">
      <alignment horizontal="center"/>
    </xf>
    <xf numFmtId="0" fontId="6" fillId="5" borderId="0" xfId="0" applyFont="1" applyFill="1" applyBorder="1"/>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6" fillId="0" borderId="0" xfId="0" applyFont="1" applyFill="1"/>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0" fontId="6" fillId="0" borderId="0" xfId="0" applyFont="1" applyFill="1" applyAlignment="1">
      <alignment horizontal="right"/>
    </xf>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xf>
    <xf numFmtId="3" fontId="6" fillId="0" borderId="0" xfId="0" applyNumberFormat="1" applyFont="1" applyFill="1" applyBorder="1" applyAlignment="1">
      <alignment horizontal="center" vertical="top" wrapText="1"/>
    </xf>
    <xf numFmtId="166" fontId="6" fillId="0" borderId="0" xfId="0" applyNumberFormat="1" applyFont="1" applyFill="1"/>
    <xf numFmtId="167" fontId="6" fillId="0" borderId="0" xfId="4" applyNumberFormat="1" applyFont="1" applyFill="1" applyBorder="1" applyAlignment="1">
      <alignment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27" fillId="4" borderId="2" xfId="4" quotePrefix="1" applyNumberFormat="1" applyFont="1" applyFill="1" applyBorder="1" applyAlignment="1">
      <alignment horizontal="center" vertical="top"/>
    </xf>
    <xf numFmtId="167" fontId="27" fillId="4" borderId="5" xfId="4" quotePrefix="1" applyNumberFormat="1" applyFont="1" applyFill="1" applyBorder="1" applyAlignment="1">
      <alignment horizontal="center" vertical="top"/>
    </xf>
    <xf numFmtId="0" fontId="6" fillId="0" borderId="13" xfId="0" applyFont="1" applyFill="1" applyBorder="1" applyAlignment="1">
      <alignment horizontal="right" vertical="top"/>
    </xf>
    <xf numFmtId="0" fontId="14" fillId="0" borderId="0" xfId="3" applyFont="1" applyFill="1" applyBorder="1" applyAlignment="1">
      <alignment horizontal="center" vertical="top"/>
    </xf>
    <xf numFmtId="167" fontId="6" fillId="0" borderId="6" xfId="4" applyNumberFormat="1" applyFont="1" applyFill="1" applyBorder="1" applyAlignment="1">
      <alignment vertical="top"/>
    </xf>
    <xf numFmtId="164" fontId="6" fillId="0" borderId="0" xfId="3" applyNumberFormat="1" applyFont="1" applyFill="1" applyBorder="1" applyAlignment="1">
      <alignment horizontal="right" vertical="top" wrapText="1"/>
    </xf>
    <xf numFmtId="167" fontId="6" fillId="0" borderId="14" xfId="4" applyNumberFormat="1" applyFont="1" applyFill="1" applyBorder="1" applyAlignment="1">
      <alignment horizontal="right" vertical="top" wrapText="1"/>
    </xf>
    <xf numFmtId="0" fontId="27" fillId="4" borderId="4" xfId="0" applyFont="1" applyFill="1" applyBorder="1" applyAlignment="1">
      <alignment vertical="top"/>
    </xf>
    <xf numFmtId="0" fontId="27" fillId="4" borderId="12" xfId="0" applyFont="1" applyFill="1" applyBorder="1" applyAlignment="1">
      <alignment horizontal="right" vertical="top"/>
    </xf>
    <xf numFmtId="49" fontId="27" fillId="4" borderId="2" xfId="0" quotePrefix="1" applyNumberFormat="1" applyFont="1" applyFill="1" applyBorder="1" applyAlignment="1">
      <alignment vertical="top"/>
    </xf>
    <xf numFmtId="0" fontId="30" fillId="4" borderId="2" xfId="0" quotePrefix="1" applyFont="1" applyFill="1" applyBorder="1" applyAlignment="1">
      <alignment vertical="top"/>
    </xf>
    <xf numFmtId="0" fontId="31" fillId="4" borderId="2" xfId="0" quotePrefix="1" applyFont="1" applyFill="1" applyBorder="1" applyAlignment="1">
      <alignment vertical="top"/>
    </xf>
    <xf numFmtId="0" fontId="30" fillId="4" borderId="4" xfId="0" quotePrefix="1" applyFont="1" applyFill="1" applyBorder="1" applyAlignment="1">
      <alignment vertical="top"/>
    </xf>
    <xf numFmtId="167" fontId="27" fillId="4" borderId="12" xfId="4" applyNumberFormat="1" applyFont="1" applyFill="1" applyBorder="1" applyAlignment="1">
      <alignment horizontal="right" vertical="top"/>
    </xf>
    <xf numFmtId="0" fontId="27" fillId="4" borderId="2" xfId="0" quotePrefix="1" applyFont="1" applyFill="1" applyBorder="1" applyAlignment="1">
      <alignment vertical="top"/>
    </xf>
    <xf numFmtId="0" fontId="33" fillId="4" borderId="2" xfId="0" quotePrefix="1" applyFont="1" applyFill="1" applyBorder="1" applyAlignment="1">
      <alignment vertical="top"/>
    </xf>
    <xf numFmtId="0" fontId="34" fillId="4" borderId="2" xfId="0" quotePrefix="1" applyFont="1" applyFill="1" applyBorder="1" applyAlignment="1">
      <alignmen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3" fillId="0" borderId="10" xfId="0" quotePrefix="1" applyFont="1" applyFill="1" applyBorder="1" applyAlignment="1">
      <alignment vertical="top"/>
    </xf>
    <xf numFmtId="0" fontId="32" fillId="0" borderId="13" xfId="0" quotePrefix="1" applyFont="1" applyFill="1" applyBorder="1" applyAlignment="1">
      <alignment horizontal="right" vertical="top"/>
    </xf>
    <xf numFmtId="0" fontId="13" fillId="0" borderId="3" xfId="0" quotePrefix="1" applyFont="1" applyFill="1" applyBorder="1" applyAlignment="1">
      <alignment vertical="top"/>
    </xf>
    <xf numFmtId="0" fontId="6" fillId="0" borderId="0" xfId="0" applyFont="1" applyFill="1" applyBorder="1" applyAlignment="1">
      <alignment horizontal="right"/>
    </xf>
    <xf numFmtId="167" fontId="6" fillId="0" borderId="14" xfId="4" quotePrefix="1" applyNumberFormat="1" applyFont="1" applyFill="1" applyBorder="1" applyAlignment="1">
      <alignment horizontal="right" vertical="top" wrapText="1"/>
    </xf>
    <xf numFmtId="0" fontId="30" fillId="0" borderId="0" xfId="0" quotePrefix="1" applyFont="1" applyFill="1" applyBorder="1" applyAlignment="1">
      <alignment vertical="top"/>
    </xf>
    <xf numFmtId="0" fontId="13" fillId="0" borderId="0" xfId="0" quotePrefix="1" applyFont="1" applyFill="1" applyBorder="1" applyAlignment="1">
      <alignment vertical="top"/>
    </xf>
    <xf numFmtId="0" fontId="27" fillId="0" borderId="0" xfId="0" quotePrefix="1" applyFont="1" applyFill="1" applyBorder="1" applyAlignment="1">
      <alignment vertical="top"/>
    </xf>
    <xf numFmtId="167" fontId="27" fillId="0" borderId="0" xfId="4" quotePrefix="1" applyNumberFormat="1" applyFont="1" applyFill="1" applyBorder="1" applyAlignment="1">
      <alignment vertical="top"/>
    </xf>
    <xf numFmtId="167" fontId="26" fillId="0" borderId="0" xfId="4" quotePrefix="1" applyNumberFormat="1" applyFont="1" applyFill="1" applyBorder="1" applyAlignment="1">
      <alignment horizontal="center" vertical="top"/>
    </xf>
    <xf numFmtId="167" fontId="27" fillId="0" borderId="0" xfId="4" quotePrefix="1" applyNumberFormat="1" applyFont="1" applyFill="1" applyBorder="1" applyAlignment="1">
      <alignment horizontal="center" vertical="top"/>
    </xf>
    <xf numFmtId="0" fontId="30" fillId="4" borderId="2" xfId="0" quotePrefix="1" applyFont="1" applyFill="1" applyBorder="1" applyAlignment="1">
      <alignment horizontal="center" vertical="top"/>
    </xf>
    <xf numFmtId="0" fontId="13" fillId="0" borderId="3" xfId="0" quotePrefix="1" applyFont="1" applyFill="1" applyBorder="1" applyAlignment="1">
      <alignment horizontal="center" vertical="top"/>
    </xf>
    <xf numFmtId="0" fontId="27" fillId="4" borderId="2" xfId="0" quotePrefix="1" applyFont="1" applyFill="1" applyBorder="1" applyAlignment="1">
      <alignment horizontal="center" vertical="top"/>
    </xf>
    <xf numFmtId="0" fontId="6" fillId="0" borderId="6" xfId="0" applyFont="1" applyFill="1" applyBorder="1" applyAlignment="1">
      <alignment horizontal="right"/>
    </xf>
    <xf numFmtId="0" fontId="30" fillId="4" borderId="2" xfId="0" quotePrefix="1" applyFont="1" applyFill="1" applyBorder="1" applyAlignment="1">
      <alignment horizontal="right" vertical="top"/>
    </xf>
    <xf numFmtId="0" fontId="30" fillId="4" borderId="5" xfId="0" quotePrefix="1" applyFont="1" applyFill="1" applyBorder="1" applyAlignment="1">
      <alignment horizontal="right" vertical="top"/>
    </xf>
    <xf numFmtId="0" fontId="13" fillId="0" borderId="3" xfId="0" quotePrefix="1" applyFont="1" applyFill="1" applyBorder="1" applyAlignment="1">
      <alignment horizontal="right" vertical="top"/>
    </xf>
    <xf numFmtId="0" fontId="13" fillId="0" borderId="9" xfId="0" quotePrefix="1" applyFont="1" applyFill="1" applyBorder="1" applyAlignment="1">
      <alignment horizontal="right" vertical="top"/>
    </xf>
    <xf numFmtId="0" fontId="27" fillId="4" borderId="2" xfId="0" quotePrefix="1" applyFont="1" applyFill="1" applyBorder="1" applyAlignment="1">
      <alignment horizontal="right" vertical="top"/>
    </xf>
    <xf numFmtId="0" fontId="27" fillId="4" borderId="5" xfId="0" quotePrefix="1" applyFont="1" applyFill="1" applyBorder="1" applyAlignment="1">
      <alignment horizontal="righ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13" fillId="0" borderId="0" xfId="4" quotePrefix="1" applyNumberFormat="1" applyFont="1" applyFill="1" applyBorder="1" applyAlignment="1">
      <alignment horizontal="center" vertical="top"/>
    </xf>
    <xf numFmtId="167" fontId="6" fillId="0" borderId="8" xfId="4" quotePrefix="1"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7" fillId="0" borderId="0" xfId="4" applyNumberFormat="1" applyFont="1" applyFill="1" applyBorder="1" applyAlignment="1">
      <alignment horizontal="right" vertical="top" wrapText="1"/>
    </xf>
    <xf numFmtId="17" fontId="7" fillId="0" borderId="0" xfId="3" applyNumberFormat="1" applyFont="1" applyFill="1" applyBorder="1" applyAlignment="1">
      <alignment horizontal="center" vertical="top" wrapText="1"/>
    </xf>
    <xf numFmtId="167" fontId="27" fillId="4" borderId="0" xfId="4" quotePrefix="1" applyNumberFormat="1" applyFont="1" applyFill="1" applyBorder="1" applyAlignment="1">
      <alignment horizontal="center" vertical="top"/>
    </xf>
    <xf numFmtId="167" fontId="27" fillId="4" borderId="8" xfId="4" quotePrefix="1" applyNumberFormat="1" applyFont="1" applyFill="1" applyBorder="1" applyAlignment="1">
      <alignment horizontal="center" vertical="top"/>
    </xf>
    <xf numFmtId="167" fontId="27" fillId="4" borderId="6" xfId="4" quotePrefix="1" applyNumberFormat="1" applyFont="1" applyFill="1" applyBorder="1" applyAlignment="1">
      <alignment horizontal="center" vertical="top"/>
    </xf>
    <xf numFmtId="167" fontId="6" fillId="0" borderId="1" xfId="4" applyNumberFormat="1" applyFont="1" applyFill="1" applyBorder="1" applyAlignment="1">
      <alignment horizontal="right" vertical="top" wrapText="1"/>
    </xf>
    <xf numFmtId="167" fontId="7" fillId="5" borderId="6" xfId="4" applyNumberFormat="1" applyFont="1" applyFill="1" applyBorder="1" applyAlignment="1">
      <alignment horizontal="center" vertical="top"/>
    </xf>
    <xf numFmtId="167" fontId="6" fillId="5" borderId="0" xfId="4" quotePrefix="1" applyNumberFormat="1" applyFont="1" applyFill="1" applyBorder="1" applyAlignment="1">
      <alignment horizontal="right" vertical="top" wrapText="1"/>
    </xf>
    <xf numFmtId="167" fontId="6" fillId="5" borderId="8" xfId="4" applyNumberFormat="1" applyFont="1" applyFill="1" applyBorder="1" applyAlignment="1">
      <alignment vertical="top"/>
    </xf>
    <xf numFmtId="167" fontId="6" fillId="5" borderId="6" xfId="4" applyNumberFormat="1" applyFont="1" applyFill="1" applyBorder="1" applyAlignment="1">
      <alignment vertical="top"/>
    </xf>
    <xf numFmtId="167" fontId="7" fillId="0" borderId="0" xfId="4" applyNumberFormat="1" applyFont="1" applyFill="1" applyBorder="1" applyAlignment="1">
      <alignment horizontal="center" vertical="top"/>
    </xf>
    <xf numFmtId="167" fontId="30" fillId="4" borderId="13" xfId="4" quotePrefix="1" applyNumberFormat="1" applyFont="1" applyFill="1" applyBorder="1" applyAlignment="1">
      <alignment horizontal="right" vertical="top"/>
    </xf>
    <xf numFmtId="0" fontId="24" fillId="3" borderId="8" xfId="0" applyFont="1" applyFill="1" applyBorder="1" applyAlignment="1">
      <alignment horizontal="center" vertical="top"/>
    </xf>
    <xf numFmtId="0" fontId="24" fillId="3" borderId="0" xfId="0" applyFont="1" applyFill="1" applyBorder="1" applyAlignment="1">
      <alignment horizontal="center" vertical="top"/>
    </xf>
    <xf numFmtId="0" fontId="24" fillId="3" borderId="6" xfId="0" applyFont="1" applyFill="1" applyBorder="1" applyAlignment="1">
      <alignment horizontal="center" vertical="top"/>
    </xf>
    <xf numFmtId="0" fontId="6" fillId="5" borderId="1" xfId="0" applyFont="1" applyFill="1" applyBorder="1" applyAlignment="1">
      <alignment horizontal="center" vertical="top" wrapText="1"/>
    </xf>
    <xf numFmtId="3" fontId="6" fillId="5" borderId="1" xfId="0" applyNumberFormat="1" applyFont="1" applyFill="1" applyBorder="1" applyAlignment="1">
      <alignment horizontal="center" vertical="top" wrapText="1"/>
    </xf>
    <xf numFmtId="17" fontId="7" fillId="5" borderId="1" xfId="3" applyNumberFormat="1" applyFont="1" applyFill="1" applyBorder="1" applyAlignment="1">
      <alignment horizontal="center" vertical="top" wrapText="1"/>
    </xf>
    <xf numFmtId="0" fontId="7" fillId="0" borderId="8" xfId="0" applyFont="1" applyFill="1" applyBorder="1" applyAlignment="1">
      <alignment vertical="top" wrapText="1"/>
    </xf>
    <xf numFmtId="0" fontId="7" fillId="5" borderId="8" xfId="0" applyFont="1" applyFill="1" applyBorder="1" applyAlignment="1">
      <alignment vertical="top" wrapText="1"/>
    </xf>
    <xf numFmtId="167" fontId="13" fillId="0" borderId="10" xfId="4" quotePrefix="1" applyNumberFormat="1" applyFont="1" applyFill="1" applyBorder="1" applyAlignment="1">
      <alignment horizontal="center" vertical="top"/>
    </xf>
    <xf numFmtId="167" fontId="13" fillId="0" borderId="3" xfId="4" quotePrefix="1" applyNumberFormat="1" applyFont="1" applyFill="1" applyBorder="1" applyAlignment="1">
      <alignment horizontal="center" vertical="top"/>
    </xf>
    <xf numFmtId="167" fontId="13" fillId="0" borderId="9" xfId="4" quotePrefix="1" applyNumberFormat="1" applyFont="1" applyFill="1" applyBorder="1" applyAlignment="1">
      <alignment horizontal="center" vertical="top"/>
    </xf>
    <xf numFmtId="167" fontId="13" fillId="0" borderId="8" xfId="4" quotePrefix="1" applyNumberFormat="1" applyFont="1" applyFill="1" applyBorder="1" applyAlignment="1">
      <alignment horizontal="center" vertical="top"/>
    </xf>
    <xf numFmtId="167" fontId="13" fillId="0" borderId="6" xfId="4" quotePrefix="1" applyNumberFormat="1" applyFont="1" applyFill="1" applyBorder="1" applyAlignment="1">
      <alignment horizontal="center" vertical="top"/>
    </xf>
    <xf numFmtId="0" fontId="7" fillId="0" borderId="0" xfId="0" applyFont="1" applyFill="1" applyBorder="1" applyAlignment="1">
      <alignment vertical="center"/>
    </xf>
    <xf numFmtId="0" fontId="7" fillId="0" borderId="0" xfId="0" applyFont="1" applyFill="1" applyBorder="1" applyAlignment="1">
      <alignment horizontal="center" vertical="top" wrapText="1"/>
    </xf>
    <xf numFmtId="0" fontId="27" fillId="4" borderId="7" xfId="0" applyFont="1" applyFill="1" applyBorder="1" applyAlignment="1">
      <alignment vertical="top"/>
    </xf>
    <xf numFmtId="167" fontId="27" fillId="4" borderId="15" xfId="4" applyNumberFormat="1" applyFont="1" applyFill="1" applyBorder="1" applyAlignment="1">
      <alignment horizontal="right" vertical="top"/>
    </xf>
    <xf numFmtId="0" fontId="31" fillId="4" borderId="1" xfId="0" quotePrefix="1" applyFont="1" applyFill="1" applyBorder="1" applyAlignment="1">
      <alignment vertical="top"/>
    </xf>
    <xf numFmtId="0" fontId="30" fillId="4" borderId="1" xfId="0" quotePrefix="1" applyFont="1" applyFill="1" applyBorder="1" applyAlignment="1">
      <alignment horizontal="center" vertical="top"/>
    </xf>
    <xf numFmtId="0" fontId="30" fillId="4" borderId="1" xfId="0" quotePrefix="1" applyFont="1" applyFill="1" applyBorder="1" applyAlignment="1">
      <alignment horizontal="right" vertical="top" wrapText="1"/>
    </xf>
    <xf numFmtId="0" fontId="30" fillId="4" borderId="11" xfId="0" quotePrefix="1" applyFont="1" applyFill="1" applyBorder="1" applyAlignment="1">
      <alignment horizontal="right" vertical="top" wrapText="1"/>
    </xf>
    <xf numFmtId="167" fontId="7" fillId="0" borderId="0" xfId="4" quotePrefix="1" applyNumberFormat="1" applyFont="1" applyFill="1" applyBorder="1" applyAlignment="1">
      <alignment horizontal="center" vertical="top"/>
    </xf>
    <xf numFmtId="0" fontId="14" fillId="5" borderId="1" xfId="3" applyFont="1" applyFill="1" applyBorder="1" applyAlignment="1">
      <alignment horizontal="center" vertical="top"/>
    </xf>
    <xf numFmtId="3" fontId="6" fillId="5" borderId="0" xfId="3" applyNumberFormat="1" applyFont="1" applyFill="1" applyBorder="1" applyAlignment="1">
      <alignment horizontal="right" vertical="top" wrapText="1"/>
    </xf>
    <xf numFmtId="3" fontId="6" fillId="5" borderId="6" xfId="3" applyNumberFormat="1" applyFont="1" applyFill="1" applyBorder="1" applyAlignment="1">
      <alignment horizontal="right" vertical="top" wrapText="1"/>
    </xf>
    <xf numFmtId="0" fontId="7" fillId="5" borderId="1" xfId="3" applyFont="1" applyFill="1" applyBorder="1" applyAlignment="1">
      <alignment horizontal="center" vertical="top" wrapText="1"/>
    </xf>
    <xf numFmtId="3" fontId="7" fillId="5" borderId="1" xfId="3" applyNumberFormat="1" applyFont="1" applyFill="1" applyBorder="1" applyAlignment="1">
      <alignment horizontal="right" vertical="top" wrapText="1"/>
    </xf>
    <xf numFmtId="3" fontId="7" fillId="5" borderId="11" xfId="3" applyNumberFormat="1" applyFont="1" applyFill="1" applyBorder="1" applyAlignment="1">
      <alignment horizontal="right" vertical="top" wrapText="1"/>
    </xf>
    <xf numFmtId="167" fontId="7" fillId="0" borderId="6" xfId="4" quotePrefix="1" applyNumberFormat="1" applyFont="1" applyFill="1" applyBorder="1" applyAlignment="1">
      <alignment horizontal="center" vertical="top"/>
    </xf>
    <xf numFmtId="167" fontId="7" fillId="0" borderId="6" xfId="4" applyNumberFormat="1" applyFont="1" applyFill="1" applyBorder="1" applyAlignment="1">
      <alignment vertical="top"/>
    </xf>
    <xf numFmtId="0" fontId="7" fillId="7" borderId="0" xfId="0" applyFont="1" applyFill="1" applyBorder="1" applyAlignment="1">
      <alignment horizontal="center" vertical="top" wrapText="1"/>
    </xf>
    <xf numFmtId="17" fontId="7" fillId="7" borderId="0" xfId="3" applyNumberFormat="1" applyFont="1" applyFill="1" applyBorder="1" applyAlignment="1">
      <alignment horizontal="center"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vertical="top" wrapText="1"/>
    </xf>
    <xf numFmtId="17" fontId="7" fillId="0" borderId="0" xfId="3" applyNumberFormat="1" applyFont="1" applyFill="1" applyBorder="1" applyAlignment="1">
      <alignment horizontal="center" vertical="top" wrapText="1"/>
    </xf>
    <xf numFmtId="0" fontId="6" fillId="7" borderId="0" xfId="0" applyFont="1" applyFill="1" applyBorder="1" applyAlignment="1">
      <alignment horizontal="center" vertical="top" wrapText="1"/>
    </xf>
    <xf numFmtId="3" fontId="6" fillId="7" borderId="0" xfId="0" applyNumberFormat="1" applyFont="1" applyFill="1" applyBorder="1" applyAlignment="1">
      <alignment horizontal="center" vertical="top" wrapText="1"/>
    </xf>
    <xf numFmtId="49" fontId="7" fillId="0" borderId="0" xfId="0" quotePrefix="1" applyNumberFormat="1" applyFont="1" applyAlignment="1">
      <alignment horizontal="right" vertical="top" wrapText="1"/>
    </xf>
    <xf numFmtId="0" fontId="7" fillId="7" borderId="7" xfId="0" applyFont="1" applyFill="1" applyBorder="1" applyAlignment="1">
      <alignment vertical="top" wrapText="1"/>
    </xf>
    <xf numFmtId="165" fontId="7" fillId="0" borderId="0" xfId="0" quotePrefix="1" applyNumberFormat="1" applyFont="1" applyFill="1" applyAlignment="1">
      <alignment vertical="center"/>
    </xf>
    <xf numFmtId="0" fontId="7" fillId="7" borderId="8" xfId="0" applyFont="1" applyFill="1" applyBorder="1" applyAlignment="1">
      <alignment vertical="top" wrapText="1"/>
    </xf>
    <xf numFmtId="167" fontId="7" fillId="5" borderId="15" xfId="4" quotePrefix="1" applyNumberFormat="1" applyFont="1" applyFill="1" applyBorder="1" applyAlignment="1">
      <alignment horizontal="right" vertical="top" wrapText="1"/>
    </xf>
    <xf numFmtId="0" fontId="7" fillId="0" borderId="14" xfId="3" applyFont="1" applyFill="1" applyBorder="1" applyAlignment="1">
      <alignment vertical="top" wrapText="1"/>
    </xf>
    <xf numFmtId="0" fontId="6" fillId="0" borderId="0" xfId="3" applyFont="1" applyFill="1" applyBorder="1" applyAlignment="1">
      <alignment horizontal="center" vertical="top"/>
    </xf>
    <xf numFmtId="1" fontId="6" fillId="0" borderId="0" xfId="3" applyNumberFormat="1" applyFont="1" applyFill="1" applyBorder="1" applyAlignment="1">
      <alignment horizontal="center" vertical="top"/>
    </xf>
    <xf numFmtId="3" fontId="6" fillId="0" borderId="0" xfId="3" applyNumberFormat="1" applyFont="1" applyFill="1" applyBorder="1" applyAlignment="1">
      <alignment horizontal="center" vertical="top"/>
    </xf>
    <xf numFmtId="0" fontId="6" fillId="0" borderId="0" xfId="3" applyFont="1" applyFill="1" applyBorder="1" applyAlignment="1">
      <alignment horizontal="center" vertical="top" wrapText="1"/>
    </xf>
    <xf numFmtId="0" fontId="7" fillId="0" borderId="8" xfId="0" applyFont="1" applyFill="1" applyBorder="1" applyAlignment="1">
      <alignment vertical="top"/>
    </xf>
    <xf numFmtId="14" fontId="6" fillId="0" borderId="0" xfId="0" applyNumberFormat="1" applyFont="1" applyFill="1" applyBorder="1" applyAlignment="1">
      <alignment horizontal="center" vertical="top" wrapText="1"/>
    </xf>
    <xf numFmtId="0" fontId="7" fillId="0" borderId="7" xfId="0" applyFont="1" applyFill="1" applyBorder="1" applyAlignment="1">
      <alignment horizontal="justify" vertical="top" wrapText="1"/>
    </xf>
    <xf numFmtId="167" fontId="7" fillId="0" borderId="15" xfId="4" quotePrefix="1" applyNumberFormat="1" applyFont="1" applyFill="1" applyBorder="1" applyAlignment="1">
      <alignment horizontal="right" vertical="top" wrapText="1"/>
    </xf>
    <xf numFmtId="0" fontId="6" fillId="0" borderId="1" xfId="0" applyFont="1" applyFill="1" applyBorder="1" applyAlignment="1">
      <alignment horizontal="center" vertical="top" wrapText="1"/>
    </xf>
    <xf numFmtId="0" fontId="14" fillId="0" borderId="1" xfId="3" applyFont="1" applyFill="1" applyBorder="1" applyAlignment="1">
      <alignment horizontal="center" vertical="top"/>
    </xf>
    <xf numFmtId="3" fontId="6" fillId="0" borderId="1" xfId="0" applyNumberFormat="1" applyFont="1" applyFill="1" applyBorder="1" applyAlignment="1">
      <alignment horizontal="center" vertical="top" wrapText="1"/>
    </xf>
    <xf numFmtId="0" fontId="7" fillId="0" borderId="1" xfId="0" applyFont="1" applyFill="1" applyBorder="1" applyAlignment="1">
      <alignment horizontal="center" vertical="top" wrapText="1"/>
    </xf>
    <xf numFmtId="17" fontId="7" fillId="0" borderId="1" xfId="3" applyNumberFormat="1" applyFont="1" applyFill="1" applyBorder="1" applyAlignment="1">
      <alignment horizontal="center" vertical="top" wrapText="1"/>
    </xf>
    <xf numFmtId="167" fontId="7" fillId="0" borderId="1" xfId="4" applyNumberFormat="1" applyFont="1" applyFill="1" applyBorder="1" applyAlignment="1">
      <alignment horizontal="right" vertical="top" wrapText="1"/>
    </xf>
    <xf numFmtId="167" fontId="7" fillId="0" borderId="11" xfId="4" applyNumberFormat="1" applyFont="1" applyFill="1" applyBorder="1" applyAlignment="1">
      <alignment horizontal="right" vertical="top" wrapText="1"/>
    </xf>
    <xf numFmtId="167" fontId="6" fillId="0" borderId="7" xfId="4" applyNumberFormat="1" applyFont="1" applyFill="1" applyBorder="1" applyAlignment="1">
      <alignment horizontal="center" vertical="top"/>
    </xf>
    <xf numFmtId="167" fontId="6" fillId="0" borderId="1" xfId="4" applyNumberFormat="1" applyFont="1" applyFill="1" applyBorder="1" applyAlignment="1">
      <alignment horizontal="center" vertical="top"/>
    </xf>
    <xf numFmtId="167" fontId="6" fillId="0" borderId="11" xfId="4" applyNumberFormat="1" applyFont="1" applyFill="1" applyBorder="1" applyAlignment="1">
      <alignment horizontal="center" vertical="top"/>
    </xf>
    <xf numFmtId="167" fontId="7" fillId="0" borderId="1" xfId="4" applyNumberFormat="1" applyFont="1" applyFill="1" applyBorder="1" applyAlignment="1">
      <alignment horizontal="center" vertical="top"/>
    </xf>
    <xf numFmtId="167" fontId="7" fillId="0" borderId="11" xfId="4" applyNumberFormat="1" applyFont="1" applyFill="1" applyBorder="1" applyAlignment="1">
      <alignment horizontal="center" vertical="top"/>
    </xf>
    <xf numFmtId="0" fontId="14" fillId="7" borderId="0" xfId="2" applyFont="1" applyFill="1" applyBorder="1" applyAlignment="1">
      <alignment horizontal="center" vertical="top"/>
    </xf>
    <xf numFmtId="17" fontId="7" fillId="7" borderId="0" xfId="2" applyNumberFormat="1" applyFont="1" applyFill="1" applyBorder="1" applyAlignment="1">
      <alignment horizontal="center" vertical="top" wrapText="1"/>
    </xf>
    <xf numFmtId="167" fontId="7" fillId="7" borderId="0" xfId="4"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167" fontId="6" fillId="7" borderId="0"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7" fillId="7" borderId="8" xfId="0" applyFont="1" applyFill="1" applyBorder="1" applyAlignment="1">
      <alignment horizontal="justify" vertical="top" wrapText="1"/>
    </xf>
    <xf numFmtId="167" fontId="6" fillId="7" borderId="14" xfId="4" applyNumberFormat="1" applyFont="1" applyFill="1" applyBorder="1" applyAlignment="1">
      <alignment horizontal="right" vertical="top" wrapText="1"/>
    </xf>
    <xf numFmtId="17" fontId="6" fillId="7" borderId="0" xfId="3" applyNumberFormat="1" applyFont="1" applyFill="1" applyBorder="1" applyAlignment="1">
      <alignment horizontal="center" vertical="top" wrapText="1"/>
    </xf>
    <xf numFmtId="167" fontId="7" fillId="7" borderId="8" xfId="4" applyNumberFormat="1" applyFont="1" applyFill="1" applyBorder="1" applyAlignment="1">
      <alignment horizontal="center" vertical="top"/>
    </xf>
    <xf numFmtId="167" fontId="7" fillId="7" borderId="0" xfId="4" applyNumberFormat="1" applyFont="1" applyFill="1" applyBorder="1" applyAlignment="1">
      <alignment horizontal="center" vertical="top"/>
    </xf>
    <xf numFmtId="167" fontId="7" fillId="7" borderId="14" xfId="4" quotePrefix="1" applyNumberFormat="1" applyFont="1" applyFill="1" applyBorder="1" applyAlignment="1">
      <alignment horizontal="right" vertical="top" wrapText="1"/>
    </xf>
    <xf numFmtId="0" fontId="6" fillId="7" borderId="0" xfId="0" applyFont="1" applyFill="1" applyBorder="1" applyAlignment="1">
      <alignment horizontal="center" vertical="top"/>
    </xf>
    <xf numFmtId="0" fontId="14" fillId="7" borderId="0" xfId="3" applyFont="1" applyFill="1" applyBorder="1" applyAlignment="1">
      <alignment horizontal="center" vertical="top"/>
    </xf>
    <xf numFmtId="3" fontId="6" fillId="7" borderId="0" xfId="0" applyNumberFormat="1" applyFont="1" applyFill="1" applyBorder="1" applyAlignment="1">
      <alignment horizontal="center" vertical="top"/>
    </xf>
    <xf numFmtId="14" fontId="7" fillId="7" borderId="0" xfId="0" applyNumberFormat="1" applyFont="1" applyFill="1" applyBorder="1" applyAlignment="1">
      <alignment horizontal="center" vertical="top" wrapText="1"/>
    </xf>
    <xf numFmtId="167" fontId="7" fillId="7" borderId="6" xfId="4" applyNumberFormat="1" applyFont="1" applyFill="1" applyBorder="1" applyAlignment="1">
      <alignment horizontal="right" vertical="top" wrapText="1"/>
    </xf>
    <xf numFmtId="167" fontId="7" fillId="7" borderId="6" xfId="4" applyNumberFormat="1" applyFont="1" applyFill="1" applyBorder="1" applyAlignment="1">
      <alignment horizontal="center" vertical="top"/>
    </xf>
    <xf numFmtId="0" fontId="6" fillId="0" borderId="7" xfId="0" applyFont="1" applyFill="1" applyBorder="1" applyAlignment="1">
      <alignment vertical="top" wrapText="1"/>
    </xf>
    <xf numFmtId="167" fontId="6" fillId="0" borderId="15" xfId="4" applyNumberFormat="1" applyFont="1" applyFill="1" applyBorder="1" applyAlignment="1">
      <alignment horizontal="right" vertical="top" wrapText="1"/>
    </xf>
    <xf numFmtId="167" fontId="7" fillId="0" borderId="1" xfId="4" quotePrefix="1"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0" fontId="7" fillId="0" borderId="7" xfId="0" applyFont="1" applyFill="1" applyBorder="1"/>
    <xf numFmtId="0" fontId="6" fillId="0" borderId="15" xfId="0" applyFont="1" applyFill="1" applyBorder="1"/>
    <xf numFmtId="0" fontId="7" fillId="0" borderId="1" xfId="3" applyFont="1" applyFill="1" applyBorder="1" applyAlignment="1">
      <alignment horizontal="center" vertical="top" wrapText="1"/>
    </xf>
    <xf numFmtId="3" fontId="7" fillId="0" borderId="1" xfId="3" applyNumberFormat="1" applyFont="1" applyFill="1" applyBorder="1" applyAlignment="1">
      <alignment horizontal="right" vertical="top" wrapText="1"/>
    </xf>
    <xf numFmtId="3" fontId="7" fillId="0" borderId="11" xfId="3" applyNumberFormat="1" applyFont="1" applyFill="1" applyBorder="1" applyAlignment="1">
      <alignment horizontal="right" vertical="top" wrapText="1"/>
    </xf>
    <xf numFmtId="0" fontId="7" fillId="7" borderId="8" xfId="0" applyFont="1" applyFill="1" applyBorder="1" applyAlignment="1">
      <alignment vertical="top"/>
    </xf>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4" fillId="3" borderId="10" xfId="0" applyFont="1" applyFill="1" applyBorder="1" applyAlignment="1">
      <alignment horizontal="center" vertical="top"/>
    </xf>
    <xf numFmtId="0" fontId="24" fillId="3" borderId="3" xfId="0" applyFont="1" applyFill="1" applyBorder="1" applyAlignment="1">
      <alignment horizontal="center" vertical="top"/>
    </xf>
    <xf numFmtId="0" fontId="24" fillId="3" borderId="9" xfId="0" applyFont="1" applyFill="1" applyBorder="1" applyAlignment="1">
      <alignment horizontal="center" vertical="top"/>
    </xf>
    <xf numFmtId="0" fontId="24" fillId="3" borderId="8" xfId="0" applyFont="1" applyFill="1" applyBorder="1" applyAlignment="1">
      <alignment horizontal="center" vertical="top"/>
    </xf>
    <xf numFmtId="0" fontId="24" fillId="3" borderId="0" xfId="0" applyFont="1" applyFill="1" applyBorder="1" applyAlignment="1">
      <alignment horizontal="center" vertical="top"/>
    </xf>
    <xf numFmtId="0" fontId="24" fillId="3" borderId="6" xfId="0" applyFont="1" applyFill="1" applyBorder="1" applyAlignment="1">
      <alignment horizontal="center" vertical="top"/>
    </xf>
    <xf numFmtId="0" fontId="7" fillId="0" borderId="0" xfId="0" applyFont="1" applyAlignment="1">
      <alignment horizontal="left" vertical="top"/>
    </xf>
    <xf numFmtId="0" fontId="0" fillId="0" borderId="0" xfId="0" applyAlignment="1">
      <alignment horizontal="left" vertical="top"/>
    </xf>
    <xf numFmtId="0" fontId="12" fillId="0" borderId="2" xfId="2" applyFont="1" applyFill="1" applyBorder="1" applyAlignment="1">
      <alignment horizontal="left" vertical="top" wrapText="1"/>
    </xf>
    <xf numFmtId="0" fontId="6" fillId="0" borderId="0" xfId="0" applyFont="1" applyFill="1" applyBorder="1" applyAlignment="1">
      <alignment horizontal="left" vertical="top" wrapText="1"/>
    </xf>
    <xf numFmtId="0" fontId="9" fillId="0" borderId="0" xfId="0" applyFont="1" applyFill="1" applyBorder="1" applyAlignment="1">
      <alignment horizontal="left" vertical="top" wrapText="1"/>
    </xf>
    <xf numFmtId="0" fontId="9" fillId="0" borderId="0" xfId="0" quotePrefix="1" applyFont="1" applyFill="1" applyBorder="1" applyAlignment="1">
      <alignment horizontal="left" vertical="top" wrapText="1"/>
    </xf>
    <xf numFmtId="0" fontId="6" fillId="0" borderId="0" xfId="0" applyFont="1" applyAlignment="1">
      <alignment horizontal="left" vertical="top" wrapText="1"/>
    </xf>
    <xf numFmtId="0" fontId="6" fillId="0" borderId="0" xfId="0" applyFont="1" applyFill="1" applyAlignment="1">
      <alignment horizontal="left" vertical="top" wrapText="1"/>
    </xf>
    <xf numFmtId="0" fontId="7" fillId="0" borderId="0" xfId="0" applyFont="1" applyFill="1" applyAlignment="1">
      <alignment horizontal="left" vertical="top" wrapText="1"/>
    </xf>
    <xf numFmtId="0" fontId="21" fillId="3" borderId="2" xfId="16" applyFont="1" applyFill="1" applyBorder="1" applyAlignment="1">
      <alignment horizontal="center"/>
    </xf>
  </cellXfs>
  <cellStyles count="99">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2 2 2" xfId="93"/>
    <cellStyle name="Comma 3 3 2 3" xfId="77"/>
    <cellStyle name="Comma 3 3 3" xfId="53"/>
    <cellStyle name="Comma 3 3 3 2" xfId="85"/>
    <cellStyle name="Comma 3 3 4" xfId="69"/>
    <cellStyle name="Comma 4" xfId="7"/>
    <cellStyle name="Comma 4 2" xfId="15"/>
    <cellStyle name="Comma 5" xfId="29"/>
    <cellStyle name="Comma 5 2" xfId="44"/>
    <cellStyle name="Comma 5 2 2" xfId="60"/>
    <cellStyle name="Comma 5 2 2 2" xfId="92"/>
    <cellStyle name="Comma 5 2 3" xfId="76"/>
    <cellStyle name="Comma 5 3" xfId="52"/>
    <cellStyle name="Comma 5 3 2" xfId="84"/>
    <cellStyle name="Comma 5 4" xfId="68"/>
    <cellStyle name="Comma 6" xfId="41"/>
    <cellStyle name="Comma 6 2" xfId="50"/>
    <cellStyle name="Comma 6 2 2" xfId="66"/>
    <cellStyle name="Comma 6 2 2 2" xfId="98"/>
    <cellStyle name="Comma 6 2 3" xfId="82"/>
    <cellStyle name="Comma 6 3" xfId="58"/>
    <cellStyle name="Comma 6 3 2" xfId="90"/>
    <cellStyle name="Comma 6 4" xfId="74"/>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2 2 2" xfId="94"/>
    <cellStyle name="Normal 3 3 2 3" xfId="78"/>
    <cellStyle name="Normal 3 3 3" xfId="54"/>
    <cellStyle name="Normal 3 3 3 2" xfId="86"/>
    <cellStyle name="Normal 3 3 4" xfId="70"/>
    <cellStyle name="Normal 4" xfId="12"/>
    <cellStyle name="Normal 5" xfId="21"/>
    <cellStyle name="Normal 5 2" xfId="43"/>
    <cellStyle name="Normal 5 2 2" xfId="59"/>
    <cellStyle name="Normal 5 2 2 2" xfId="91"/>
    <cellStyle name="Normal 5 2 3" xfId="75"/>
    <cellStyle name="Normal 5 3" xfId="51"/>
    <cellStyle name="Normal 5 3 2" xfId="83"/>
    <cellStyle name="Normal 5 4" xfId="67"/>
    <cellStyle name="Normal 6" xfId="35"/>
    <cellStyle name="Normal 6 2" xfId="47"/>
    <cellStyle name="Normal 6 2 2" xfId="63"/>
    <cellStyle name="Normal 6 2 2 2" xfId="95"/>
    <cellStyle name="Normal 6 2 3" xfId="79"/>
    <cellStyle name="Normal 6 3" xfId="55"/>
    <cellStyle name="Normal 6 3 2" xfId="87"/>
    <cellStyle name="Normal 6 4" xfId="71"/>
    <cellStyle name="Normal 7" xfId="36"/>
    <cellStyle name="Normal 7 2" xfId="48"/>
    <cellStyle name="Normal 7 2 2" xfId="64"/>
    <cellStyle name="Normal 7 2 2 2" xfId="96"/>
    <cellStyle name="Normal 7 2 3" xfId="80"/>
    <cellStyle name="Normal 7 3" xfId="56"/>
    <cellStyle name="Normal 7 3 2" xfId="88"/>
    <cellStyle name="Normal 7 4" xfId="72"/>
    <cellStyle name="Normal 8" xfId="40"/>
    <cellStyle name="Normal 8 2" xfId="49"/>
    <cellStyle name="Normal 8 2 2" xfId="65"/>
    <cellStyle name="Normal 8 2 2 2" xfId="97"/>
    <cellStyle name="Normal 8 2 3" xfId="81"/>
    <cellStyle name="Normal 8 3" xfId="57"/>
    <cellStyle name="Normal 8 3 2" xfId="89"/>
    <cellStyle name="Normal 8 4" xfId="73"/>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FFFF99"/>
      <color rgb="FFFFCCFF"/>
      <color rgb="FFFFCC99"/>
      <color rgb="FFCCFFFF"/>
      <color rgb="FFCCFFCC"/>
      <color rgb="FF8DCD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Update</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December 18,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ystal.Lazenby/AppData/Local/Microsoft/Windows/Temporary%20Internet%20Files/Content.Outlook/LPY0YAL6/OOS%20Comparision%20-%20Decemb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cst Retrieve"/>
      <sheetName val="2014"/>
      <sheetName val="2015"/>
      <sheetName val="2014-15 OOS Days"/>
      <sheetName val="Actual Hours"/>
      <sheetName val="Actual Hours (2)"/>
      <sheetName val="Master"/>
    </sheetNames>
    <sheetDataSet>
      <sheetData sheetId="0"/>
      <sheetData sheetId="1">
        <row r="4">
          <cell r="B4" t="str">
            <v>Discoverer Americas</v>
          </cell>
          <cell r="C4">
            <v>0</v>
          </cell>
          <cell r="D4">
            <v>0</v>
          </cell>
          <cell r="E4">
            <v>0</v>
          </cell>
          <cell r="F4">
            <v>30</v>
          </cell>
          <cell r="G4">
            <v>0</v>
          </cell>
          <cell r="H4">
            <v>0</v>
          </cell>
          <cell r="I4">
            <v>0</v>
          </cell>
          <cell r="J4">
            <v>30</v>
          </cell>
          <cell r="K4">
            <v>0</v>
          </cell>
          <cell r="L4">
            <v>0</v>
          </cell>
          <cell r="M4">
            <v>0</v>
          </cell>
          <cell r="N4">
            <v>28.3125</v>
          </cell>
          <cell r="O4">
            <v>0</v>
          </cell>
          <cell r="P4">
            <v>0</v>
          </cell>
          <cell r="Q4">
            <v>0</v>
          </cell>
          <cell r="R4">
            <v>28.3125</v>
          </cell>
        </row>
        <row r="5">
          <cell r="B5" t="str">
            <v>Discoverer Clear Leader</v>
          </cell>
          <cell r="C5">
            <v>0</v>
          </cell>
          <cell r="D5">
            <v>0</v>
          </cell>
          <cell r="E5">
            <v>21</v>
          </cell>
          <cell r="F5">
            <v>0</v>
          </cell>
          <cell r="G5">
            <v>0</v>
          </cell>
          <cell r="H5">
            <v>0</v>
          </cell>
          <cell r="I5">
            <v>0</v>
          </cell>
          <cell r="J5">
            <v>18</v>
          </cell>
          <cell r="K5">
            <v>0</v>
          </cell>
          <cell r="L5">
            <v>0</v>
          </cell>
          <cell r="M5">
            <v>0</v>
          </cell>
          <cell r="N5">
            <v>18.104166666666668</v>
          </cell>
          <cell r="O5">
            <v>0</v>
          </cell>
          <cell r="P5">
            <v>0</v>
          </cell>
          <cell r="Q5">
            <v>0</v>
          </cell>
          <cell r="R5">
            <v>18.104166666666668</v>
          </cell>
        </row>
        <row r="6">
          <cell r="B6" t="str">
            <v>Deepwater Asgard</v>
          </cell>
          <cell r="G6">
            <v>0</v>
          </cell>
          <cell r="H6">
            <v>0</v>
          </cell>
          <cell r="I6">
            <v>0</v>
          </cell>
          <cell r="J6">
            <v>0</v>
          </cell>
          <cell r="K6">
            <v>0</v>
          </cell>
          <cell r="L6">
            <v>0</v>
          </cell>
          <cell r="M6">
            <v>0</v>
          </cell>
          <cell r="N6">
            <v>31</v>
          </cell>
          <cell r="O6">
            <v>0</v>
          </cell>
          <cell r="P6">
            <v>0</v>
          </cell>
          <cell r="Q6">
            <v>0</v>
          </cell>
          <cell r="R6">
            <v>0</v>
          </cell>
        </row>
        <row r="7">
          <cell r="B7" t="str">
            <v>Discoverer Enterprise</v>
          </cell>
          <cell r="C7">
            <v>0</v>
          </cell>
          <cell r="D7">
            <v>0</v>
          </cell>
          <cell r="E7">
            <v>0</v>
          </cell>
          <cell r="F7">
            <v>30</v>
          </cell>
          <cell r="G7">
            <v>0</v>
          </cell>
          <cell r="H7">
            <v>0</v>
          </cell>
          <cell r="I7">
            <v>0</v>
          </cell>
          <cell r="J7">
            <v>0</v>
          </cell>
          <cell r="K7">
            <v>0</v>
          </cell>
          <cell r="L7">
            <v>0</v>
          </cell>
          <cell r="M7">
            <v>0</v>
          </cell>
          <cell r="N7">
            <v>0</v>
          </cell>
          <cell r="O7">
            <v>0</v>
          </cell>
          <cell r="P7">
            <v>0</v>
          </cell>
          <cell r="Q7">
            <v>0</v>
          </cell>
          <cell r="R7">
            <v>0</v>
          </cell>
        </row>
        <row r="8">
          <cell r="B8" t="str">
            <v>Deepwater Frontier</v>
          </cell>
          <cell r="C8">
            <v>8.25</v>
          </cell>
          <cell r="D8">
            <v>0</v>
          </cell>
          <cell r="E8">
            <v>0</v>
          </cell>
          <cell r="F8">
            <v>10</v>
          </cell>
          <cell r="G8">
            <v>8.25</v>
          </cell>
          <cell r="H8">
            <v>0</v>
          </cell>
          <cell r="I8">
            <v>0</v>
          </cell>
          <cell r="J8">
            <v>0</v>
          </cell>
          <cell r="K8">
            <v>8.25</v>
          </cell>
          <cell r="L8">
            <v>0</v>
          </cell>
          <cell r="M8">
            <v>0</v>
          </cell>
          <cell r="N8">
            <v>6</v>
          </cell>
          <cell r="O8">
            <v>8.25</v>
          </cell>
          <cell r="P8">
            <v>0</v>
          </cell>
          <cell r="Q8">
            <v>0</v>
          </cell>
          <cell r="R8">
            <v>0</v>
          </cell>
        </row>
        <row r="9">
          <cell r="B9" t="str">
            <v>Deepwater Millennium</v>
          </cell>
          <cell r="C9">
            <v>90</v>
          </cell>
          <cell r="D9">
            <v>24.375</v>
          </cell>
          <cell r="E9">
            <v>0</v>
          </cell>
          <cell r="F9">
            <v>0</v>
          </cell>
          <cell r="G9">
            <v>90</v>
          </cell>
          <cell r="H9">
            <v>24.375</v>
          </cell>
          <cell r="I9">
            <v>0</v>
          </cell>
          <cell r="J9">
            <v>0</v>
          </cell>
          <cell r="K9">
            <v>90</v>
          </cell>
          <cell r="L9">
            <v>24.375</v>
          </cell>
          <cell r="M9">
            <v>0</v>
          </cell>
          <cell r="N9">
            <v>0</v>
          </cell>
          <cell r="O9">
            <v>90</v>
          </cell>
          <cell r="P9">
            <v>24.375</v>
          </cell>
          <cell r="Q9">
            <v>0</v>
          </cell>
          <cell r="R9">
            <v>0</v>
          </cell>
        </row>
        <row r="10">
          <cell r="B10" t="str">
            <v>Discoverer Spirit</v>
          </cell>
          <cell r="C10">
            <v>0</v>
          </cell>
          <cell r="D10">
            <v>0</v>
          </cell>
          <cell r="E10">
            <v>61</v>
          </cell>
          <cell r="F10">
            <v>23</v>
          </cell>
          <cell r="G10">
            <v>0</v>
          </cell>
          <cell r="H10">
            <v>0</v>
          </cell>
          <cell r="I10">
            <v>60.75</v>
          </cell>
          <cell r="J10">
            <v>69</v>
          </cell>
          <cell r="K10">
            <v>0</v>
          </cell>
          <cell r="L10">
            <v>0</v>
          </cell>
          <cell r="M10">
            <v>60.75</v>
          </cell>
          <cell r="N10">
            <v>69</v>
          </cell>
          <cell r="O10">
            <v>0</v>
          </cell>
          <cell r="P10">
            <v>0</v>
          </cell>
          <cell r="Q10">
            <v>60.75</v>
          </cell>
          <cell r="R10">
            <v>69</v>
          </cell>
        </row>
        <row r="11">
          <cell r="B11" t="str">
            <v>Deepwater Discovery</v>
          </cell>
          <cell r="G11">
            <v>0</v>
          </cell>
          <cell r="H11">
            <v>0</v>
          </cell>
          <cell r="I11">
            <v>0</v>
          </cell>
          <cell r="J11">
            <v>0</v>
          </cell>
          <cell r="K11">
            <v>0</v>
          </cell>
          <cell r="L11">
            <v>0</v>
          </cell>
          <cell r="M11">
            <v>0</v>
          </cell>
          <cell r="N11">
            <v>36</v>
          </cell>
          <cell r="O11">
            <v>0</v>
          </cell>
          <cell r="P11">
            <v>0</v>
          </cell>
          <cell r="Q11">
            <v>0</v>
          </cell>
          <cell r="R11">
            <v>0</v>
          </cell>
        </row>
        <row r="12">
          <cell r="B12" t="str">
            <v>GSF Explorer</v>
          </cell>
          <cell r="C12">
            <v>0</v>
          </cell>
          <cell r="D12">
            <v>0</v>
          </cell>
          <cell r="E12">
            <v>15</v>
          </cell>
          <cell r="F12">
            <v>0</v>
          </cell>
          <cell r="G12">
            <v>0</v>
          </cell>
          <cell r="H12">
            <v>0</v>
          </cell>
          <cell r="I12">
            <v>0</v>
          </cell>
          <cell r="J12">
            <v>0</v>
          </cell>
          <cell r="K12">
            <v>0</v>
          </cell>
          <cell r="L12">
            <v>0</v>
          </cell>
          <cell r="M12">
            <v>0</v>
          </cell>
          <cell r="N12">
            <v>21</v>
          </cell>
          <cell r="O12">
            <v>0</v>
          </cell>
          <cell r="P12">
            <v>0</v>
          </cell>
          <cell r="Q12">
            <v>0</v>
          </cell>
          <cell r="R12">
            <v>0</v>
          </cell>
        </row>
        <row r="13">
          <cell r="B13" t="str">
            <v>GSF Development Driller I</v>
          </cell>
          <cell r="G13">
            <v>0</v>
          </cell>
          <cell r="H13">
            <v>0</v>
          </cell>
          <cell r="I13">
            <v>0</v>
          </cell>
          <cell r="J13">
            <v>0</v>
          </cell>
          <cell r="K13">
            <v>0</v>
          </cell>
          <cell r="L13">
            <v>0</v>
          </cell>
          <cell r="M13">
            <v>0</v>
          </cell>
          <cell r="N13">
            <v>20</v>
          </cell>
          <cell r="O13">
            <v>0</v>
          </cell>
          <cell r="P13">
            <v>0</v>
          </cell>
          <cell r="Q13">
            <v>0</v>
          </cell>
          <cell r="R13">
            <v>20</v>
          </cell>
        </row>
        <row r="14">
          <cell r="B14" t="str">
            <v>GSF Development Driller II</v>
          </cell>
          <cell r="C14">
            <v>0</v>
          </cell>
          <cell r="D14">
            <v>72.5</v>
          </cell>
          <cell r="E14">
            <v>92</v>
          </cell>
          <cell r="F14">
            <v>0</v>
          </cell>
          <cell r="G14">
            <v>0</v>
          </cell>
          <cell r="H14">
            <v>72.5</v>
          </cell>
          <cell r="I14">
            <v>92</v>
          </cell>
          <cell r="J14">
            <v>30.5</v>
          </cell>
          <cell r="K14">
            <v>0</v>
          </cell>
          <cell r="L14">
            <v>72.5</v>
          </cell>
          <cell r="M14">
            <v>92</v>
          </cell>
          <cell r="N14">
            <v>30.5</v>
          </cell>
          <cell r="O14">
            <v>0</v>
          </cell>
          <cell r="P14">
            <v>72.5</v>
          </cell>
          <cell r="Q14">
            <v>92</v>
          </cell>
          <cell r="R14">
            <v>30.5</v>
          </cell>
        </row>
        <row r="15">
          <cell r="B15" t="str">
            <v>Deepwater Pathfinder</v>
          </cell>
          <cell r="G15">
            <v>0</v>
          </cell>
          <cell r="H15">
            <v>0</v>
          </cell>
          <cell r="I15">
            <v>0</v>
          </cell>
          <cell r="J15">
            <v>0</v>
          </cell>
          <cell r="K15">
            <v>0</v>
          </cell>
          <cell r="L15">
            <v>0</v>
          </cell>
          <cell r="M15">
            <v>0</v>
          </cell>
          <cell r="N15">
            <v>0</v>
          </cell>
          <cell r="O15">
            <v>0</v>
          </cell>
          <cell r="P15">
            <v>0</v>
          </cell>
          <cell r="Q15">
            <v>0</v>
          </cell>
          <cell r="R15">
            <v>0</v>
          </cell>
        </row>
        <row r="16">
          <cell r="B16" t="str">
            <v>Development Driller III</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row>
        <row r="17">
          <cell r="B17" t="str">
            <v>Cajun Express</v>
          </cell>
          <cell r="C17">
            <v>0</v>
          </cell>
          <cell r="D17">
            <v>0</v>
          </cell>
          <cell r="E17">
            <v>0</v>
          </cell>
          <cell r="F17">
            <v>39</v>
          </cell>
          <cell r="G17">
            <v>0</v>
          </cell>
          <cell r="H17">
            <v>0</v>
          </cell>
          <cell r="I17">
            <v>0</v>
          </cell>
          <cell r="J17">
            <v>32</v>
          </cell>
          <cell r="K17">
            <v>0</v>
          </cell>
          <cell r="L17">
            <v>0</v>
          </cell>
          <cell r="M17">
            <v>0</v>
          </cell>
          <cell r="N17">
            <v>35.75</v>
          </cell>
          <cell r="O17">
            <v>0</v>
          </cell>
          <cell r="P17">
            <v>0</v>
          </cell>
          <cell r="Q17">
            <v>0</v>
          </cell>
          <cell r="R17">
            <v>31.75</v>
          </cell>
        </row>
        <row r="18">
          <cell r="B18" t="str">
            <v>GSF C.R. Luigs</v>
          </cell>
          <cell r="C18">
            <v>0</v>
          </cell>
          <cell r="D18">
            <v>0</v>
          </cell>
          <cell r="E18">
            <v>46</v>
          </cell>
          <cell r="F18">
            <v>75</v>
          </cell>
          <cell r="G18">
            <v>0</v>
          </cell>
          <cell r="H18">
            <v>0</v>
          </cell>
          <cell r="I18">
            <v>0</v>
          </cell>
          <cell r="J18">
            <v>82</v>
          </cell>
          <cell r="K18">
            <v>0</v>
          </cell>
          <cell r="L18">
            <v>0</v>
          </cell>
          <cell r="M18">
            <v>0</v>
          </cell>
          <cell r="N18">
            <v>82</v>
          </cell>
          <cell r="O18">
            <v>0</v>
          </cell>
          <cell r="P18">
            <v>0</v>
          </cell>
          <cell r="Q18">
            <v>0</v>
          </cell>
          <cell r="R18">
            <v>82</v>
          </cell>
        </row>
        <row r="19">
          <cell r="B19" t="str">
            <v>Dhirubhai Deepwater KG1</v>
          </cell>
          <cell r="C19">
            <v>0</v>
          </cell>
          <cell r="D19">
            <v>0</v>
          </cell>
          <cell r="E19">
            <v>62</v>
          </cell>
          <cell r="F19">
            <v>58</v>
          </cell>
          <cell r="G19">
            <v>0</v>
          </cell>
          <cell r="H19">
            <v>0</v>
          </cell>
          <cell r="I19">
            <v>59.75</v>
          </cell>
          <cell r="J19">
            <v>72</v>
          </cell>
          <cell r="K19">
            <v>0</v>
          </cell>
          <cell r="L19">
            <v>0</v>
          </cell>
          <cell r="M19">
            <v>59.75</v>
          </cell>
          <cell r="N19">
            <v>91</v>
          </cell>
          <cell r="O19">
            <v>0</v>
          </cell>
          <cell r="P19">
            <v>0</v>
          </cell>
          <cell r="Q19">
            <v>59.75</v>
          </cell>
          <cell r="R19">
            <v>91</v>
          </cell>
        </row>
        <row r="20">
          <cell r="B20" t="str">
            <v>Dhirubhai Deepwater KG2</v>
          </cell>
          <cell r="C20">
            <v>0</v>
          </cell>
          <cell r="D20">
            <v>13</v>
          </cell>
          <cell r="E20">
            <v>0</v>
          </cell>
          <cell r="F20">
            <v>0</v>
          </cell>
          <cell r="G20">
            <v>0</v>
          </cell>
          <cell r="H20">
            <v>13</v>
          </cell>
          <cell r="I20">
            <v>0</v>
          </cell>
          <cell r="J20">
            <v>0</v>
          </cell>
          <cell r="K20">
            <v>0</v>
          </cell>
          <cell r="L20">
            <v>13</v>
          </cell>
          <cell r="M20">
            <v>0</v>
          </cell>
          <cell r="N20">
            <v>0</v>
          </cell>
          <cell r="O20">
            <v>0</v>
          </cell>
          <cell r="P20">
            <v>13</v>
          </cell>
          <cell r="Q20">
            <v>0</v>
          </cell>
          <cell r="R20">
            <v>0</v>
          </cell>
        </row>
        <row r="21">
          <cell r="B21" t="str">
            <v>Petrobras 10000</v>
          </cell>
          <cell r="C21">
            <v>0</v>
          </cell>
          <cell r="D21">
            <v>0</v>
          </cell>
          <cell r="E21">
            <v>62</v>
          </cell>
          <cell r="F21">
            <v>3</v>
          </cell>
          <cell r="G21">
            <v>0</v>
          </cell>
          <cell r="H21">
            <v>0</v>
          </cell>
          <cell r="I21">
            <v>30</v>
          </cell>
          <cell r="J21">
            <v>20.958333333333332</v>
          </cell>
          <cell r="K21">
            <v>0</v>
          </cell>
          <cell r="L21">
            <v>0</v>
          </cell>
          <cell r="M21">
            <v>30</v>
          </cell>
          <cell r="N21">
            <v>20.958333333333332</v>
          </cell>
          <cell r="O21">
            <v>0</v>
          </cell>
          <cell r="P21">
            <v>0</v>
          </cell>
          <cell r="Q21">
            <v>30</v>
          </cell>
          <cell r="R21">
            <v>20.958333333333332</v>
          </cell>
        </row>
        <row r="22">
          <cell r="B22" t="str">
            <v>Deepwater Nautilus</v>
          </cell>
          <cell r="C22">
            <v>0</v>
          </cell>
          <cell r="D22">
            <v>0</v>
          </cell>
          <cell r="E22">
            <v>0</v>
          </cell>
          <cell r="F22">
            <v>92</v>
          </cell>
          <cell r="G22">
            <v>0</v>
          </cell>
          <cell r="H22">
            <v>0</v>
          </cell>
          <cell r="I22">
            <v>0</v>
          </cell>
          <cell r="J22">
            <v>0</v>
          </cell>
          <cell r="K22">
            <v>0</v>
          </cell>
          <cell r="L22">
            <v>0</v>
          </cell>
          <cell r="M22">
            <v>0</v>
          </cell>
          <cell r="N22">
            <v>0</v>
          </cell>
          <cell r="O22">
            <v>0</v>
          </cell>
          <cell r="P22">
            <v>0</v>
          </cell>
          <cell r="Q22">
            <v>0</v>
          </cell>
          <cell r="R22">
            <v>0</v>
          </cell>
        </row>
        <row r="23">
          <cell r="B23" t="str">
            <v>Deepwater Expedition</v>
          </cell>
          <cell r="C23">
            <v>0</v>
          </cell>
          <cell r="D23">
            <v>0</v>
          </cell>
          <cell r="E23">
            <v>0</v>
          </cell>
          <cell r="F23">
            <v>10</v>
          </cell>
          <cell r="G23">
            <v>0</v>
          </cell>
          <cell r="H23">
            <v>0</v>
          </cell>
          <cell r="I23">
            <v>0</v>
          </cell>
          <cell r="J23">
            <v>0</v>
          </cell>
          <cell r="K23">
            <v>0</v>
          </cell>
          <cell r="L23">
            <v>0</v>
          </cell>
          <cell r="M23">
            <v>0</v>
          </cell>
          <cell r="N23">
            <v>27</v>
          </cell>
          <cell r="O23">
            <v>0</v>
          </cell>
          <cell r="P23">
            <v>0</v>
          </cell>
          <cell r="Q23">
            <v>0</v>
          </cell>
          <cell r="R23">
            <v>0</v>
          </cell>
        </row>
        <row r="24">
          <cell r="B24" t="str">
            <v>Sedco Express</v>
          </cell>
          <cell r="C24">
            <v>0</v>
          </cell>
          <cell r="D24">
            <v>0</v>
          </cell>
          <cell r="E24">
            <v>0</v>
          </cell>
          <cell r="F24">
            <v>3</v>
          </cell>
          <cell r="G24">
            <v>0</v>
          </cell>
          <cell r="H24">
            <v>0</v>
          </cell>
          <cell r="I24">
            <v>0</v>
          </cell>
          <cell r="J24">
            <v>0</v>
          </cell>
          <cell r="K24">
            <v>0</v>
          </cell>
          <cell r="L24">
            <v>0</v>
          </cell>
          <cell r="M24">
            <v>0</v>
          </cell>
          <cell r="N24">
            <v>0</v>
          </cell>
          <cell r="O24">
            <v>0</v>
          </cell>
          <cell r="P24">
            <v>0</v>
          </cell>
          <cell r="Q24">
            <v>0</v>
          </cell>
          <cell r="R24">
            <v>0</v>
          </cell>
        </row>
        <row r="25">
          <cell r="B25" t="str">
            <v>Sedco Energy</v>
          </cell>
          <cell r="C25">
            <v>0</v>
          </cell>
          <cell r="D25">
            <v>0</v>
          </cell>
          <cell r="E25">
            <v>25</v>
          </cell>
          <cell r="F25">
            <v>0</v>
          </cell>
          <cell r="G25">
            <v>0</v>
          </cell>
          <cell r="H25">
            <v>0</v>
          </cell>
          <cell r="I25">
            <v>53.479166666666671</v>
          </cell>
          <cell r="J25">
            <v>3.6041666666666665</v>
          </cell>
          <cell r="K25">
            <v>0</v>
          </cell>
          <cell r="L25">
            <v>0</v>
          </cell>
          <cell r="M25">
            <v>53.479166666666671</v>
          </cell>
          <cell r="N25">
            <v>3.6041666666666665</v>
          </cell>
          <cell r="O25">
            <v>0</v>
          </cell>
          <cell r="P25">
            <v>0</v>
          </cell>
          <cell r="Q25">
            <v>53.479166666666671</v>
          </cell>
          <cell r="R25">
            <v>3.6041666666666665</v>
          </cell>
        </row>
        <row r="26">
          <cell r="B26" t="str">
            <v>Discoverer Seven Seas</v>
          </cell>
          <cell r="C26">
            <v>0</v>
          </cell>
          <cell r="D26">
            <v>0</v>
          </cell>
          <cell r="E26">
            <v>46</v>
          </cell>
          <cell r="F26">
            <v>0</v>
          </cell>
          <cell r="G26">
            <v>0</v>
          </cell>
          <cell r="H26">
            <v>0</v>
          </cell>
          <cell r="I26">
            <v>65.291666666666671</v>
          </cell>
          <cell r="J26">
            <v>0</v>
          </cell>
          <cell r="K26">
            <v>0</v>
          </cell>
          <cell r="L26">
            <v>0</v>
          </cell>
          <cell r="M26">
            <v>65.291666666666671</v>
          </cell>
          <cell r="N26">
            <v>13</v>
          </cell>
          <cell r="O26">
            <v>0</v>
          </cell>
          <cell r="P26">
            <v>0</v>
          </cell>
          <cell r="Q26">
            <v>65.291666666666671</v>
          </cell>
          <cell r="R26">
            <v>0</v>
          </cell>
        </row>
        <row r="27">
          <cell r="B27" t="str">
            <v>Jack Bates</v>
          </cell>
          <cell r="C27">
            <v>0</v>
          </cell>
          <cell r="D27">
            <v>0</v>
          </cell>
          <cell r="E27">
            <v>4</v>
          </cell>
          <cell r="F27">
            <v>0</v>
          </cell>
          <cell r="G27">
            <v>0</v>
          </cell>
          <cell r="H27">
            <v>0</v>
          </cell>
          <cell r="I27">
            <v>15.041666666666666</v>
          </cell>
          <cell r="J27">
            <v>4</v>
          </cell>
          <cell r="K27">
            <v>0</v>
          </cell>
          <cell r="L27">
            <v>0</v>
          </cell>
          <cell r="M27">
            <v>15.041666666666666</v>
          </cell>
          <cell r="N27">
            <v>4</v>
          </cell>
          <cell r="O27">
            <v>0</v>
          </cell>
          <cell r="P27">
            <v>0</v>
          </cell>
          <cell r="Q27">
            <v>15.041666666666666</v>
          </cell>
          <cell r="R27">
            <v>4</v>
          </cell>
        </row>
        <row r="28">
          <cell r="B28" t="str">
            <v>M.G. Hulme, Jr.</v>
          </cell>
          <cell r="C28">
            <v>0</v>
          </cell>
          <cell r="D28">
            <v>35.395833333333336</v>
          </cell>
          <cell r="E28">
            <v>8</v>
          </cell>
          <cell r="F28">
            <v>0</v>
          </cell>
          <cell r="G28">
            <v>0</v>
          </cell>
          <cell r="H28">
            <v>35.395833333333336</v>
          </cell>
          <cell r="I28">
            <v>7</v>
          </cell>
          <cell r="J28">
            <v>24</v>
          </cell>
          <cell r="K28">
            <v>0</v>
          </cell>
          <cell r="L28">
            <v>35.395833333333336</v>
          </cell>
          <cell r="M28">
            <v>7</v>
          </cell>
          <cell r="N28">
            <v>22</v>
          </cell>
          <cell r="O28">
            <v>0</v>
          </cell>
          <cell r="P28">
            <v>35.395833333333336</v>
          </cell>
          <cell r="Q28">
            <v>7</v>
          </cell>
          <cell r="R28">
            <v>22</v>
          </cell>
        </row>
        <row r="29">
          <cell r="B29" t="str">
            <v>Sedco 702</v>
          </cell>
          <cell r="C29">
            <v>59.604166666666664</v>
          </cell>
          <cell r="D29">
            <v>0</v>
          </cell>
          <cell r="E29">
            <v>0</v>
          </cell>
          <cell r="F29">
            <v>0</v>
          </cell>
          <cell r="G29">
            <v>59.604166666666664</v>
          </cell>
          <cell r="H29">
            <v>0</v>
          </cell>
          <cell r="I29">
            <v>0</v>
          </cell>
          <cell r="J29">
            <v>0</v>
          </cell>
          <cell r="K29">
            <v>59.604166666666664</v>
          </cell>
          <cell r="L29">
            <v>0</v>
          </cell>
          <cell r="M29">
            <v>0</v>
          </cell>
          <cell r="N29">
            <v>0</v>
          </cell>
          <cell r="O29">
            <v>59.604166666666664</v>
          </cell>
          <cell r="P29">
            <v>0</v>
          </cell>
          <cell r="Q29">
            <v>0</v>
          </cell>
          <cell r="R29">
            <v>0</v>
          </cell>
        </row>
        <row r="30">
          <cell r="B30" t="str">
            <v>Sedco 706</v>
          </cell>
          <cell r="C30">
            <v>0</v>
          </cell>
          <cell r="D30">
            <v>22.75</v>
          </cell>
          <cell r="E30">
            <v>0</v>
          </cell>
          <cell r="F30">
            <v>0</v>
          </cell>
          <cell r="G30">
            <v>0</v>
          </cell>
          <cell r="H30">
            <v>22.75</v>
          </cell>
          <cell r="I30">
            <v>0</v>
          </cell>
          <cell r="J30">
            <v>0</v>
          </cell>
          <cell r="K30">
            <v>0</v>
          </cell>
          <cell r="L30">
            <v>22.75</v>
          </cell>
          <cell r="M30">
            <v>0</v>
          </cell>
          <cell r="N30">
            <v>0</v>
          </cell>
          <cell r="O30">
            <v>0</v>
          </cell>
          <cell r="P30">
            <v>22.75</v>
          </cell>
          <cell r="Q30">
            <v>0</v>
          </cell>
          <cell r="R30">
            <v>0</v>
          </cell>
        </row>
        <row r="31">
          <cell r="B31" t="str">
            <v>Sedco 707</v>
          </cell>
          <cell r="G31">
            <v>0</v>
          </cell>
          <cell r="H31">
            <v>0</v>
          </cell>
          <cell r="I31">
            <v>0</v>
          </cell>
          <cell r="J31">
            <v>0</v>
          </cell>
          <cell r="K31">
            <v>0</v>
          </cell>
          <cell r="L31">
            <v>0</v>
          </cell>
          <cell r="M31">
            <v>0</v>
          </cell>
          <cell r="N31">
            <v>0</v>
          </cell>
          <cell r="O31">
            <v>0</v>
          </cell>
          <cell r="P31">
            <v>0</v>
          </cell>
          <cell r="Q31">
            <v>0</v>
          </cell>
          <cell r="R31">
            <v>0</v>
          </cell>
        </row>
        <row r="32">
          <cell r="B32" t="str">
            <v>GSF Celtic Sea</v>
          </cell>
          <cell r="C32">
            <v>0</v>
          </cell>
          <cell r="D32">
            <v>0</v>
          </cell>
          <cell r="E32">
            <v>0</v>
          </cell>
          <cell r="F32">
            <v>18</v>
          </cell>
          <cell r="G32">
            <v>0</v>
          </cell>
          <cell r="H32">
            <v>0</v>
          </cell>
          <cell r="I32">
            <v>0</v>
          </cell>
          <cell r="J32">
            <v>5</v>
          </cell>
          <cell r="K32">
            <v>0</v>
          </cell>
          <cell r="L32">
            <v>0</v>
          </cell>
          <cell r="M32">
            <v>0</v>
          </cell>
          <cell r="N32">
            <v>5</v>
          </cell>
          <cell r="O32">
            <v>0</v>
          </cell>
          <cell r="P32">
            <v>0</v>
          </cell>
          <cell r="Q32">
            <v>0</v>
          </cell>
          <cell r="R32">
            <v>5</v>
          </cell>
        </row>
        <row r="33">
          <cell r="B33" t="str">
            <v>Deepwater Navigator</v>
          </cell>
          <cell r="C33">
            <v>0</v>
          </cell>
          <cell r="D33">
            <v>0</v>
          </cell>
          <cell r="E33">
            <v>12</v>
          </cell>
          <cell r="F33">
            <v>0</v>
          </cell>
          <cell r="G33">
            <v>0</v>
          </cell>
          <cell r="H33">
            <v>0</v>
          </cell>
          <cell r="I33">
            <v>0</v>
          </cell>
          <cell r="J33">
            <v>19</v>
          </cell>
          <cell r="K33">
            <v>0</v>
          </cell>
          <cell r="L33">
            <v>0</v>
          </cell>
          <cell r="M33">
            <v>0</v>
          </cell>
          <cell r="N33">
            <v>7.729166666666667</v>
          </cell>
          <cell r="O33">
            <v>0</v>
          </cell>
          <cell r="P33">
            <v>0</v>
          </cell>
          <cell r="Q33">
            <v>0</v>
          </cell>
          <cell r="R33">
            <v>7.729166666666667</v>
          </cell>
        </row>
        <row r="34">
          <cell r="B34" t="str">
            <v>Transocean Marianas</v>
          </cell>
          <cell r="C34">
            <v>10</v>
          </cell>
          <cell r="D34">
            <v>71.583333333333329</v>
          </cell>
          <cell r="E34">
            <v>0</v>
          </cell>
          <cell r="F34">
            <v>0</v>
          </cell>
          <cell r="G34">
            <v>10</v>
          </cell>
          <cell r="H34">
            <v>71.583333333333329</v>
          </cell>
          <cell r="I34">
            <v>0</v>
          </cell>
          <cell r="J34">
            <v>0</v>
          </cell>
          <cell r="K34">
            <v>10</v>
          </cell>
          <cell r="L34">
            <v>71.583333333333329</v>
          </cell>
          <cell r="M34">
            <v>0</v>
          </cell>
          <cell r="N34">
            <v>0</v>
          </cell>
          <cell r="O34">
            <v>10</v>
          </cell>
          <cell r="P34">
            <v>71.583333333333329</v>
          </cell>
          <cell r="Q34">
            <v>0</v>
          </cell>
          <cell r="R34">
            <v>0</v>
          </cell>
        </row>
        <row r="35">
          <cell r="B35" t="str">
            <v>Transocean Barents</v>
          </cell>
          <cell r="C35">
            <v>0</v>
          </cell>
          <cell r="D35">
            <v>0</v>
          </cell>
          <cell r="E35">
            <v>73</v>
          </cell>
          <cell r="F35">
            <v>9</v>
          </cell>
          <cell r="G35">
            <v>0</v>
          </cell>
          <cell r="H35">
            <v>0</v>
          </cell>
          <cell r="I35">
            <v>67.604166666666671</v>
          </cell>
          <cell r="J35">
            <v>0</v>
          </cell>
          <cell r="K35">
            <v>0</v>
          </cell>
          <cell r="L35">
            <v>0</v>
          </cell>
          <cell r="M35">
            <v>67.604166666666671</v>
          </cell>
          <cell r="N35">
            <v>0</v>
          </cell>
          <cell r="O35">
            <v>0</v>
          </cell>
          <cell r="P35">
            <v>0</v>
          </cell>
          <cell r="Q35">
            <v>67.604166666666671</v>
          </cell>
          <cell r="R35">
            <v>0</v>
          </cell>
        </row>
        <row r="36">
          <cell r="B36" t="str">
            <v>Transocean Arctic</v>
          </cell>
          <cell r="C36">
            <v>0</v>
          </cell>
          <cell r="D36">
            <v>0</v>
          </cell>
          <cell r="E36">
            <v>85</v>
          </cell>
          <cell r="F36">
            <v>0</v>
          </cell>
          <cell r="G36">
            <v>0</v>
          </cell>
          <cell r="H36">
            <v>0</v>
          </cell>
          <cell r="I36">
            <v>63.9375</v>
          </cell>
          <cell r="J36">
            <v>0</v>
          </cell>
          <cell r="K36">
            <v>0</v>
          </cell>
          <cell r="L36">
            <v>0</v>
          </cell>
          <cell r="M36">
            <v>63.9375</v>
          </cell>
          <cell r="N36">
            <v>0</v>
          </cell>
          <cell r="O36">
            <v>0</v>
          </cell>
          <cell r="P36">
            <v>0</v>
          </cell>
          <cell r="Q36">
            <v>63.9375</v>
          </cell>
          <cell r="R36">
            <v>0</v>
          </cell>
        </row>
        <row r="37">
          <cell r="B37" t="str">
            <v>Polar Pioneer</v>
          </cell>
          <cell r="C37">
            <v>0</v>
          </cell>
          <cell r="D37">
            <v>74.375</v>
          </cell>
          <cell r="E37">
            <v>92</v>
          </cell>
          <cell r="F37">
            <v>54</v>
          </cell>
          <cell r="G37">
            <v>0</v>
          </cell>
          <cell r="H37">
            <v>74.375</v>
          </cell>
          <cell r="I37">
            <v>78</v>
          </cell>
          <cell r="J37">
            <v>56</v>
          </cell>
          <cell r="K37">
            <v>0</v>
          </cell>
          <cell r="L37">
            <v>74.375</v>
          </cell>
          <cell r="M37">
            <v>78</v>
          </cell>
          <cell r="N37">
            <v>61</v>
          </cell>
          <cell r="O37">
            <v>0</v>
          </cell>
          <cell r="P37">
            <v>74.375</v>
          </cell>
          <cell r="Q37">
            <v>78</v>
          </cell>
          <cell r="R37">
            <v>61</v>
          </cell>
        </row>
        <row r="38">
          <cell r="B38" t="str">
            <v>GSF Arctic I</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row>
        <row r="39">
          <cell r="B39" t="str">
            <v>GSF Arctic III</v>
          </cell>
          <cell r="C39">
            <v>0</v>
          </cell>
          <cell r="D39">
            <v>0</v>
          </cell>
          <cell r="E39">
            <v>0</v>
          </cell>
          <cell r="F39">
            <v>37</v>
          </cell>
          <cell r="G39">
            <v>0</v>
          </cell>
          <cell r="H39">
            <v>0</v>
          </cell>
          <cell r="I39">
            <v>0</v>
          </cell>
          <cell r="J39">
            <v>0</v>
          </cell>
          <cell r="K39">
            <v>0</v>
          </cell>
          <cell r="L39">
            <v>0</v>
          </cell>
          <cell r="M39">
            <v>0</v>
          </cell>
          <cell r="N39">
            <v>0</v>
          </cell>
          <cell r="O39">
            <v>0</v>
          </cell>
          <cell r="P39">
            <v>0</v>
          </cell>
          <cell r="Q39">
            <v>0</v>
          </cell>
          <cell r="R39">
            <v>0</v>
          </cell>
        </row>
        <row r="40">
          <cell r="B40" t="str">
            <v>Actinia</v>
          </cell>
          <cell r="C40">
            <v>0</v>
          </cell>
          <cell r="D40">
            <v>0</v>
          </cell>
          <cell r="E40">
            <v>21</v>
          </cell>
          <cell r="F40">
            <v>0</v>
          </cell>
          <cell r="G40">
            <v>0</v>
          </cell>
          <cell r="H40">
            <v>0</v>
          </cell>
          <cell r="I40">
            <v>0</v>
          </cell>
          <cell r="J40">
            <v>0</v>
          </cell>
          <cell r="K40">
            <v>0</v>
          </cell>
          <cell r="L40">
            <v>0</v>
          </cell>
          <cell r="M40">
            <v>0</v>
          </cell>
          <cell r="N40">
            <v>0</v>
          </cell>
          <cell r="O40">
            <v>0</v>
          </cell>
          <cell r="P40">
            <v>0</v>
          </cell>
          <cell r="Q40">
            <v>0</v>
          </cell>
          <cell r="R40">
            <v>0</v>
          </cell>
        </row>
        <row r="41">
          <cell r="B41" t="str">
            <v>GSF Grand Banks</v>
          </cell>
          <cell r="C41">
            <v>90</v>
          </cell>
          <cell r="D41">
            <v>75.489583333333329</v>
          </cell>
          <cell r="E41">
            <v>5</v>
          </cell>
          <cell r="F41">
            <v>0</v>
          </cell>
          <cell r="G41">
            <v>90</v>
          </cell>
          <cell r="H41">
            <v>75.489583333333329</v>
          </cell>
          <cell r="I41">
            <v>0</v>
          </cell>
          <cell r="J41">
            <v>0</v>
          </cell>
          <cell r="K41">
            <v>90</v>
          </cell>
          <cell r="L41">
            <v>75.489583333333329</v>
          </cell>
          <cell r="M41">
            <v>0</v>
          </cell>
          <cell r="N41">
            <v>0</v>
          </cell>
          <cell r="O41">
            <v>90</v>
          </cell>
          <cell r="P41">
            <v>75.489583333333329</v>
          </cell>
          <cell r="Q41">
            <v>0</v>
          </cell>
          <cell r="R41">
            <v>0</v>
          </cell>
        </row>
        <row r="42">
          <cell r="B42" t="str">
            <v>GSF Rig 135</v>
          </cell>
          <cell r="C42">
            <v>0</v>
          </cell>
          <cell r="D42">
            <v>0</v>
          </cell>
          <cell r="E42">
            <v>17</v>
          </cell>
          <cell r="F42">
            <v>0</v>
          </cell>
          <cell r="G42">
            <v>0</v>
          </cell>
          <cell r="H42">
            <v>0</v>
          </cell>
          <cell r="I42">
            <v>0</v>
          </cell>
          <cell r="J42">
            <v>24</v>
          </cell>
          <cell r="K42">
            <v>0</v>
          </cell>
          <cell r="L42">
            <v>0</v>
          </cell>
          <cell r="M42">
            <v>0</v>
          </cell>
          <cell r="N42">
            <v>2</v>
          </cell>
          <cell r="O42">
            <v>0</v>
          </cell>
          <cell r="P42">
            <v>0</v>
          </cell>
          <cell r="Q42">
            <v>0</v>
          </cell>
          <cell r="R42">
            <v>2</v>
          </cell>
        </row>
        <row r="43">
          <cell r="B43" t="str">
            <v>GSF Rig 140</v>
          </cell>
          <cell r="C43">
            <v>0</v>
          </cell>
          <cell r="D43">
            <v>0</v>
          </cell>
          <cell r="E43">
            <v>0</v>
          </cell>
          <cell r="F43">
            <v>30</v>
          </cell>
          <cell r="G43">
            <v>0</v>
          </cell>
          <cell r="H43">
            <v>0</v>
          </cell>
          <cell r="I43">
            <v>0</v>
          </cell>
          <cell r="J43">
            <v>0</v>
          </cell>
          <cell r="K43">
            <v>0</v>
          </cell>
          <cell r="L43">
            <v>0</v>
          </cell>
          <cell r="M43">
            <v>0</v>
          </cell>
          <cell r="N43">
            <v>0</v>
          </cell>
          <cell r="O43">
            <v>0</v>
          </cell>
          <cell r="P43">
            <v>0</v>
          </cell>
          <cell r="Q43">
            <v>0</v>
          </cell>
          <cell r="R43">
            <v>0</v>
          </cell>
        </row>
        <row r="44">
          <cell r="B44" t="str">
            <v>Transocean Legend</v>
          </cell>
          <cell r="C44">
            <v>26.541666666666664</v>
          </cell>
          <cell r="D44">
            <v>0</v>
          </cell>
          <cell r="E44">
            <v>5</v>
          </cell>
          <cell r="F44">
            <v>0</v>
          </cell>
          <cell r="G44">
            <v>26.541666666666664</v>
          </cell>
          <cell r="H44">
            <v>0</v>
          </cell>
          <cell r="I44">
            <v>5.75</v>
          </cell>
          <cell r="J44">
            <v>0</v>
          </cell>
          <cell r="K44">
            <v>26.541666666666664</v>
          </cell>
          <cell r="L44">
            <v>0</v>
          </cell>
          <cell r="M44">
            <v>5.75</v>
          </cell>
          <cell r="N44">
            <v>0</v>
          </cell>
          <cell r="O44">
            <v>26.541666666666664</v>
          </cell>
          <cell r="P44">
            <v>0</v>
          </cell>
          <cell r="Q44">
            <v>5.75</v>
          </cell>
          <cell r="R44">
            <v>0</v>
          </cell>
        </row>
        <row r="45">
          <cell r="B45" t="str">
            <v>Transocean Amirante</v>
          </cell>
          <cell r="C45">
            <v>0</v>
          </cell>
          <cell r="D45">
            <v>15</v>
          </cell>
          <cell r="E45">
            <v>92</v>
          </cell>
          <cell r="F45">
            <v>61</v>
          </cell>
          <cell r="G45">
            <v>0</v>
          </cell>
          <cell r="H45">
            <v>15</v>
          </cell>
          <cell r="I45">
            <v>92</v>
          </cell>
          <cell r="J45">
            <v>61</v>
          </cell>
          <cell r="K45">
            <v>0</v>
          </cell>
          <cell r="L45">
            <v>15</v>
          </cell>
          <cell r="M45">
            <v>92</v>
          </cell>
          <cell r="N45">
            <v>64</v>
          </cell>
          <cell r="O45">
            <v>0</v>
          </cell>
          <cell r="P45">
            <v>15</v>
          </cell>
          <cell r="Q45">
            <v>92</v>
          </cell>
          <cell r="R45">
            <v>64</v>
          </cell>
        </row>
        <row r="46">
          <cell r="B46" t="str">
            <v>Sedco 711</v>
          </cell>
          <cell r="C46">
            <v>12.916666666666666</v>
          </cell>
          <cell r="D46">
            <v>0</v>
          </cell>
          <cell r="E46">
            <v>0</v>
          </cell>
          <cell r="F46">
            <v>0</v>
          </cell>
          <cell r="G46">
            <v>12.916666666666666</v>
          </cell>
          <cell r="H46">
            <v>0</v>
          </cell>
          <cell r="I46">
            <v>0</v>
          </cell>
          <cell r="J46">
            <v>0</v>
          </cell>
          <cell r="K46">
            <v>12.916666666666666</v>
          </cell>
          <cell r="L46">
            <v>0</v>
          </cell>
          <cell r="M46">
            <v>0</v>
          </cell>
          <cell r="N46">
            <v>0</v>
          </cell>
          <cell r="O46">
            <v>12.916666666666666</v>
          </cell>
          <cell r="P46">
            <v>0</v>
          </cell>
          <cell r="Q46">
            <v>0</v>
          </cell>
          <cell r="R46">
            <v>0</v>
          </cell>
        </row>
        <row r="47">
          <cell r="B47" t="str">
            <v>Sedco 714</v>
          </cell>
          <cell r="C47">
            <v>0</v>
          </cell>
          <cell r="D47">
            <v>32.625</v>
          </cell>
          <cell r="E47">
            <v>87</v>
          </cell>
          <cell r="F47">
            <v>0</v>
          </cell>
          <cell r="G47">
            <v>0</v>
          </cell>
          <cell r="H47">
            <v>32.625</v>
          </cell>
          <cell r="I47">
            <v>90.3125</v>
          </cell>
          <cell r="J47">
            <v>11.375</v>
          </cell>
          <cell r="K47">
            <v>0</v>
          </cell>
          <cell r="L47">
            <v>32.625</v>
          </cell>
          <cell r="M47">
            <v>90.3125</v>
          </cell>
          <cell r="N47">
            <v>11.375</v>
          </cell>
          <cell r="O47">
            <v>0</v>
          </cell>
          <cell r="P47">
            <v>32.625</v>
          </cell>
          <cell r="Q47">
            <v>90.3125</v>
          </cell>
          <cell r="R47">
            <v>11.375</v>
          </cell>
        </row>
        <row r="48">
          <cell r="B48" t="str">
            <v>Transocean John Shaw</v>
          </cell>
          <cell r="C48">
            <v>81.458333333333329</v>
          </cell>
          <cell r="D48">
            <v>25.729166666666668</v>
          </cell>
          <cell r="E48">
            <v>0</v>
          </cell>
          <cell r="F48">
            <v>0</v>
          </cell>
          <cell r="G48">
            <v>81.458333333333329</v>
          </cell>
          <cell r="H48">
            <v>25.729166666666668</v>
          </cell>
          <cell r="I48">
            <v>0</v>
          </cell>
          <cell r="J48">
            <v>0</v>
          </cell>
          <cell r="K48">
            <v>81.458333333333329</v>
          </cell>
          <cell r="L48">
            <v>25.729166666666668</v>
          </cell>
          <cell r="M48">
            <v>0</v>
          </cell>
          <cell r="N48">
            <v>0</v>
          </cell>
          <cell r="O48">
            <v>81.458333333333329</v>
          </cell>
          <cell r="P48">
            <v>25.729166666666668</v>
          </cell>
          <cell r="Q48">
            <v>0</v>
          </cell>
          <cell r="R48">
            <v>0</v>
          </cell>
        </row>
        <row r="49">
          <cell r="B49" t="str">
            <v>GSF Galaxy I</v>
          </cell>
          <cell r="C49">
            <v>90</v>
          </cell>
          <cell r="D49">
            <v>48.145833333333336</v>
          </cell>
          <cell r="E49">
            <v>0</v>
          </cell>
          <cell r="F49">
            <v>0</v>
          </cell>
          <cell r="G49">
            <v>90</v>
          </cell>
          <cell r="H49">
            <v>48.145833333333336</v>
          </cell>
          <cell r="I49">
            <v>0</v>
          </cell>
          <cell r="J49">
            <v>0</v>
          </cell>
          <cell r="K49">
            <v>90</v>
          </cell>
          <cell r="L49">
            <v>48.145833333333336</v>
          </cell>
          <cell r="M49">
            <v>0</v>
          </cell>
          <cell r="N49">
            <v>0</v>
          </cell>
          <cell r="O49">
            <v>90</v>
          </cell>
          <cell r="P49">
            <v>48.145833333333336</v>
          </cell>
          <cell r="Q49">
            <v>0</v>
          </cell>
          <cell r="R49">
            <v>0</v>
          </cell>
        </row>
        <row r="50">
          <cell r="B50" t="str">
            <v>GSF Galaxy II</v>
          </cell>
          <cell r="C50">
            <v>31</v>
          </cell>
          <cell r="D50">
            <v>0</v>
          </cell>
          <cell r="E50">
            <v>0</v>
          </cell>
          <cell r="F50">
            <v>0</v>
          </cell>
          <cell r="G50">
            <v>31</v>
          </cell>
          <cell r="H50">
            <v>0</v>
          </cell>
          <cell r="I50">
            <v>0</v>
          </cell>
          <cell r="J50">
            <v>0</v>
          </cell>
          <cell r="K50">
            <v>31</v>
          </cell>
          <cell r="L50">
            <v>0</v>
          </cell>
          <cell r="M50">
            <v>0</v>
          </cell>
          <cell r="N50">
            <v>0</v>
          </cell>
          <cell r="O50">
            <v>31</v>
          </cell>
          <cell r="P50">
            <v>0</v>
          </cell>
          <cell r="Q50">
            <v>0</v>
          </cell>
          <cell r="R50">
            <v>0</v>
          </cell>
        </row>
        <row r="51">
          <cell r="B51" t="str">
            <v>Transocean Honor</v>
          </cell>
          <cell r="C51">
            <v>0</v>
          </cell>
          <cell r="D51">
            <v>0</v>
          </cell>
          <cell r="E51">
            <v>0</v>
          </cell>
          <cell r="F51">
            <v>9</v>
          </cell>
          <cell r="G51">
            <v>0</v>
          </cell>
          <cell r="H51">
            <v>0</v>
          </cell>
          <cell r="I51">
            <v>0</v>
          </cell>
          <cell r="J51">
            <v>9</v>
          </cell>
          <cell r="K51">
            <v>0</v>
          </cell>
          <cell r="L51">
            <v>0</v>
          </cell>
          <cell r="M51">
            <v>0</v>
          </cell>
          <cell r="N51">
            <v>0</v>
          </cell>
          <cell r="O51">
            <v>0</v>
          </cell>
          <cell r="P51">
            <v>0</v>
          </cell>
          <cell r="Q51">
            <v>0</v>
          </cell>
          <cell r="R51">
            <v>0</v>
          </cell>
        </row>
        <row r="52">
          <cell r="B52" t="str">
            <v>GSF Galaxy III</v>
          </cell>
          <cell r="C52">
            <v>0</v>
          </cell>
          <cell r="D52">
            <v>0</v>
          </cell>
          <cell r="E52">
            <v>30</v>
          </cell>
          <cell r="F52">
            <v>0</v>
          </cell>
          <cell r="G52">
            <v>0</v>
          </cell>
          <cell r="H52">
            <v>0</v>
          </cell>
          <cell r="I52">
            <v>6.125</v>
          </cell>
          <cell r="J52">
            <v>38.84375</v>
          </cell>
          <cell r="K52">
            <v>0</v>
          </cell>
          <cell r="L52">
            <v>0</v>
          </cell>
          <cell r="M52">
            <v>6.125</v>
          </cell>
          <cell r="N52">
            <v>44.09375</v>
          </cell>
          <cell r="O52">
            <v>0</v>
          </cell>
          <cell r="P52">
            <v>0</v>
          </cell>
          <cell r="Q52">
            <v>6.125</v>
          </cell>
          <cell r="R52">
            <v>44.09375</v>
          </cell>
        </row>
      </sheetData>
      <sheetData sheetId="2">
        <row r="4">
          <cell r="B4" t="str">
            <v>Deepwater Discovery</v>
          </cell>
        </row>
      </sheetData>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K29" sqref="K29"/>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23</v>
      </c>
      <c r="B11" s="7"/>
      <c r="C11" s="59"/>
      <c r="D11" s="7"/>
      <c r="E11" s="7"/>
      <c r="F11" s="7"/>
      <c r="G11" s="7"/>
      <c r="H11" s="7"/>
      <c r="I11" s="7"/>
      <c r="J11" s="7"/>
      <c r="K11" s="7"/>
      <c r="L11" s="7"/>
    </row>
    <row r="12" spans="1:17" ht="409.5" customHeight="1" x14ac:dyDescent="0.35">
      <c r="A12" s="7"/>
      <c r="B12" s="7"/>
      <c r="C12" s="35"/>
      <c r="D12" s="7"/>
      <c r="E12" s="7"/>
      <c r="F12" s="7"/>
      <c r="G12" s="7"/>
      <c r="H12" s="7"/>
      <c r="I12" s="7"/>
      <c r="J12" s="7"/>
      <c r="K12" s="7"/>
      <c r="L12" s="7"/>
      <c r="Q12" s="33"/>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IJ48"/>
  <sheetViews>
    <sheetView tabSelected="1" zoomScaleNormal="100" zoomScaleSheetLayoutView="90" workbookViewId="0">
      <pane xSplit="1" ySplit="8" topLeftCell="B9" activePane="bottomRight" state="frozen"/>
      <selection pane="topRight" activeCell="B1" sqref="B1"/>
      <selection pane="bottomLeft" activeCell="A9" sqref="A9"/>
      <selection pane="bottomRight" activeCell="B1" sqref="B1"/>
    </sheetView>
  </sheetViews>
  <sheetFormatPr defaultRowHeight="12.75" x14ac:dyDescent="0.2"/>
  <cols>
    <col min="1" max="1" width="31.85546875" style="140" customWidth="1"/>
    <col min="2" max="2" width="19" style="140" customWidth="1"/>
    <col min="3" max="3" width="14.85546875" style="140" bestFit="1" customWidth="1"/>
    <col min="4" max="4" width="17.42578125" style="140" customWidth="1"/>
    <col min="5" max="5" width="15.85546875" style="140" customWidth="1"/>
    <col min="6" max="6" width="15.140625" style="140" customWidth="1"/>
    <col min="7" max="7" width="18" style="140" customWidth="1"/>
    <col min="8" max="8" width="15" style="140" customWidth="1"/>
    <col min="9" max="9" width="18.7109375" style="140" customWidth="1"/>
    <col min="10" max="10" width="16.85546875" style="140" customWidth="1"/>
    <col min="11" max="11" width="12.140625" style="140" customWidth="1"/>
    <col min="12" max="12" width="12" style="140" customWidth="1"/>
    <col min="13" max="13" width="12.140625" style="140" customWidth="1"/>
    <col min="14" max="14" width="2.7109375" style="143" customWidth="1"/>
    <col min="15" max="18" width="11.7109375" style="140" customWidth="1"/>
    <col min="19" max="19" width="3.140625" style="143" customWidth="1"/>
    <col min="20" max="23" width="11.7109375" style="140" customWidth="1"/>
    <col min="24" max="25" width="9.140625" style="140" customWidth="1"/>
    <col min="26" max="16384" width="9.140625" style="140"/>
  </cols>
  <sheetData>
    <row r="1" spans="1:244" ht="41.25" customHeight="1" x14ac:dyDescent="0.2">
      <c r="C1" s="35"/>
      <c r="E1" s="36"/>
      <c r="F1" s="36"/>
      <c r="H1" s="144"/>
    </row>
    <row r="2" spans="1:244" ht="13.5" customHeight="1" x14ac:dyDescent="0.2">
      <c r="A2" s="145" t="s">
        <v>104</v>
      </c>
      <c r="B2" s="102"/>
      <c r="C2" s="101"/>
      <c r="K2" s="37"/>
      <c r="L2" s="37"/>
    </row>
    <row r="3" spans="1:244" ht="16.5" customHeight="1" x14ac:dyDescent="0.2">
      <c r="A3" s="308" t="s">
        <v>81</v>
      </c>
      <c r="B3" s="308"/>
      <c r="C3" s="309"/>
      <c r="D3" s="309"/>
      <c r="E3" s="309"/>
      <c r="F3" s="309"/>
      <c r="G3" s="309"/>
      <c r="H3" s="309"/>
      <c r="I3" s="309"/>
      <c r="J3" s="309"/>
      <c r="K3" s="309"/>
      <c r="L3" s="309"/>
      <c r="M3" s="309"/>
      <c r="N3" s="228"/>
    </row>
    <row r="4" spans="1:244" x14ac:dyDescent="0.2">
      <c r="A4" s="310" t="s">
        <v>43</v>
      </c>
      <c r="B4" s="310"/>
      <c r="C4" s="310"/>
      <c r="D4" s="310"/>
      <c r="E4" s="310"/>
      <c r="F4" s="310"/>
      <c r="G4" s="310"/>
      <c r="H4" s="310"/>
      <c r="I4" s="310"/>
      <c r="J4" s="310"/>
      <c r="K4" s="310"/>
      <c r="L4" s="310"/>
      <c r="M4" s="310"/>
      <c r="N4" s="228"/>
    </row>
    <row r="5" spans="1:244" s="143" customFormat="1" ht="15.75" x14ac:dyDescent="0.25">
      <c r="A5" s="39"/>
      <c r="B5" s="56"/>
      <c r="C5" s="83"/>
      <c r="D5" s="41"/>
      <c r="E5" s="42"/>
      <c r="F5" s="43"/>
      <c r="G5" s="43"/>
      <c r="H5" s="44"/>
      <c r="I5" s="44"/>
      <c r="J5" s="43"/>
      <c r="K5" s="43"/>
      <c r="L5" s="43" t="s">
        <v>41</v>
      </c>
      <c r="M5" s="93" t="s">
        <v>41</v>
      </c>
      <c r="N5" s="98"/>
      <c r="O5" s="311" t="s">
        <v>90</v>
      </c>
      <c r="P5" s="312"/>
      <c r="Q5" s="312"/>
      <c r="R5" s="313"/>
      <c r="S5" s="128"/>
      <c r="T5" s="311" t="s">
        <v>90</v>
      </c>
      <c r="U5" s="312"/>
      <c r="V5" s="312"/>
      <c r="W5" s="313"/>
    </row>
    <row r="6" spans="1:244" s="143" customFormat="1" ht="15.75" x14ac:dyDescent="0.25">
      <c r="A6" s="131"/>
      <c r="B6" s="132"/>
      <c r="C6" s="133"/>
      <c r="D6" s="134"/>
      <c r="E6" s="135" t="s">
        <v>66</v>
      </c>
      <c r="F6" s="46" t="s">
        <v>7</v>
      </c>
      <c r="G6" s="46" t="s">
        <v>62</v>
      </c>
      <c r="H6" s="45"/>
      <c r="I6" s="45"/>
      <c r="J6" s="46" t="s">
        <v>32</v>
      </c>
      <c r="K6" s="46" t="s">
        <v>32</v>
      </c>
      <c r="L6" s="46" t="s">
        <v>92</v>
      </c>
      <c r="M6" s="136" t="s">
        <v>94</v>
      </c>
      <c r="N6" s="98"/>
      <c r="O6" s="215"/>
      <c r="P6" s="216"/>
      <c r="Q6" s="216"/>
      <c r="R6" s="217"/>
      <c r="S6" s="128"/>
      <c r="T6" s="215"/>
      <c r="U6" s="216"/>
      <c r="V6" s="216"/>
      <c r="W6" s="217"/>
    </row>
    <row r="7" spans="1:244" s="143" customFormat="1" ht="14.25" customHeight="1" x14ac:dyDescent="0.2">
      <c r="A7" s="40"/>
      <c r="B7" s="57" t="s">
        <v>70</v>
      </c>
      <c r="C7" s="215" t="s">
        <v>26</v>
      </c>
      <c r="D7" s="216" t="s">
        <v>63</v>
      </c>
      <c r="E7" s="216" t="s">
        <v>31</v>
      </c>
      <c r="F7" s="216" t="s">
        <v>8</v>
      </c>
      <c r="G7" s="216" t="s">
        <v>8</v>
      </c>
      <c r="H7" s="45"/>
      <c r="I7" s="45"/>
      <c r="J7" s="46" t="s">
        <v>64</v>
      </c>
      <c r="K7" s="46" t="s">
        <v>68</v>
      </c>
      <c r="L7" s="51" t="s">
        <v>93</v>
      </c>
      <c r="M7" s="94" t="s">
        <v>93</v>
      </c>
      <c r="N7" s="92"/>
      <c r="O7" s="314">
        <v>2014</v>
      </c>
      <c r="P7" s="315"/>
      <c r="Q7" s="315"/>
      <c r="R7" s="316"/>
      <c r="S7" s="128"/>
      <c r="T7" s="314">
        <v>2015</v>
      </c>
      <c r="U7" s="315"/>
      <c r="V7" s="315"/>
      <c r="W7" s="316"/>
    </row>
    <row r="8" spans="1:244" s="143" customFormat="1" ht="13.5" customHeight="1" x14ac:dyDescent="0.2">
      <c r="A8" s="50" t="s">
        <v>6</v>
      </c>
      <c r="B8" s="58" t="s">
        <v>71</v>
      </c>
      <c r="C8" s="84" t="s">
        <v>27</v>
      </c>
      <c r="D8" s="85" t="s">
        <v>65</v>
      </c>
      <c r="E8" s="47" t="s">
        <v>9</v>
      </c>
      <c r="F8" s="48" t="s">
        <v>33</v>
      </c>
      <c r="G8" s="48" t="s">
        <v>33</v>
      </c>
      <c r="H8" s="49" t="s">
        <v>11</v>
      </c>
      <c r="I8" s="49" t="s">
        <v>40</v>
      </c>
      <c r="J8" s="47" t="s">
        <v>67</v>
      </c>
      <c r="K8" s="47" t="s">
        <v>69</v>
      </c>
      <c r="L8" s="48" t="s">
        <v>34</v>
      </c>
      <c r="M8" s="95" t="s">
        <v>34</v>
      </c>
      <c r="N8" s="99"/>
      <c r="O8" s="80" t="s">
        <v>83</v>
      </c>
      <c r="P8" s="52" t="s">
        <v>84</v>
      </c>
      <c r="Q8" s="52" t="s">
        <v>85</v>
      </c>
      <c r="R8" s="53" t="s">
        <v>82</v>
      </c>
      <c r="S8" s="129"/>
      <c r="T8" s="80" t="s">
        <v>83</v>
      </c>
      <c r="U8" s="52" t="s">
        <v>84</v>
      </c>
      <c r="V8" s="52" t="s">
        <v>85</v>
      </c>
      <c r="W8" s="53" t="s">
        <v>82</v>
      </c>
    </row>
    <row r="9" spans="1:244" s="143" customFormat="1" ht="9" customHeight="1" x14ac:dyDescent="0.2">
      <c r="A9" s="68"/>
      <c r="B9" s="55"/>
      <c r="C9" s="4"/>
      <c r="D9" s="199"/>
      <c r="E9" s="4"/>
      <c r="F9" s="4"/>
      <c r="G9" s="4"/>
      <c r="H9" s="4"/>
      <c r="I9" s="4"/>
      <c r="J9" s="4"/>
      <c r="K9" s="4"/>
      <c r="L9" s="4"/>
      <c r="M9" s="96"/>
      <c r="N9" s="4"/>
      <c r="O9" s="81"/>
      <c r="P9" s="213"/>
      <c r="Q9" s="213"/>
      <c r="R9" s="89"/>
      <c r="S9" s="213"/>
      <c r="T9" s="81"/>
      <c r="U9" s="213"/>
      <c r="V9" s="213"/>
      <c r="W9" s="89"/>
    </row>
    <row r="10" spans="1:244" s="5" customFormat="1" ht="15" x14ac:dyDescent="0.2">
      <c r="A10" s="161" t="s">
        <v>72</v>
      </c>
      <c r="B10" s="162"/>
      <c r="C10" s="163"/>
      <c r="D10" s="164"/>
      <c r="E10" s="165"/>
      <c r="F10" s="164"/>
      <c r="G10" s="164"/>
      <c r="H10" s="164"/>
      <c r="I10" s="164"/>
      <c r="J10" s="184"/>
      <c r="K10" s="184"/>
      <c r="L10" s="188"/>
      <c r="M10" s="189"/>
      <c r="N10" s="178"/>
      <c r="O10" s="166"/>
      <c r="P10" s="154"/>
      <c r="Q10" s="154"/>
      <c r="R10" s="155"/>
      <c r="S10" s="183"/>
      <c r="T10" s="206"/>
      <c r="U10" s="205"/>
      <c r="V10" s="205"/>
      <c r="W10" s="207"/>
    </row>
    <row r="11" spans="1:244" s="5" customFormat="1" ht="6" customHeight="1" x14ac:dyDescent="0.2">
      <c r="A11" s="173"/>
      <c r="B11" s="174"/>
      <c r="C11" s="175"/>
      <c r="D11" s="175"/>
      <c r="E11" s="175"/>
      <c r="F11" s="175"/>
      <c r="G11" s="175"/>
      <c r="H11" s="175"/>
      <c r="I11" s="175"/>
      <c r="J11" s="185"/>
      <c r="K11" s="185"/>
      <c r="L11" s="190"/>
      <c r="M11" s="191"/>
      <c r="N11" s="179"/>
      <c r="O11" s="223"/>
      <c r="P11" s="224"/>
      <c r="Q11" s="224"/>
      <c r="R11" s="225"/>
      <c r="S11" s="196"/>
      <c r="T11" s="226"/>
      <c r="U11" s="196"/>
      <c r="V11" s="196"/>
      <c r="W11" s="227"/>
    </row>
    <row r="12" spans="1:244" s="137" customFormat="1" ht="14.25" customHeight="1" x14ac:dyDescent="0.2">
      <c r="A12" s="222" t="s">
        <v>74</v>
      </c>
      <c r="B12" s="126" t="s">
        <v>98</v>
      </c>
      <c r="C12" s="114" t="s">
        <v>24</v>
      </c>
      <c r="D12" s="115" t="s">
        <v>30</v>
      </c>
      <c r="E12" s="114">
        <v>2009</v>
      </c>
      <c r="F12" s="116">
        <v>12000</v>
      </c>
      <c r="G12" s="116">
        <v>35000</v>
      </c>
      <c r="H12" s="114" t="s">
        <v>13</v>
      </c>
      <c r="I12" s="114" t="s">
        <v>14</v>
      </c>
      <c r="J12" s="123">
        <v>42004</v>
      </c>
      <c r="K12" s="123">
        <v>43070</v>
      </c>
      <c r="L12" s="127">
        <v>431000</v>
      </c>
      <c r="M12" s="118">
        <v>510000</v>
      </c>
      <c r="N12" s="152"/>
      <c r="O12" s="119">
        <v>0</v>
      </c>
      <c r="P12" s="120">
        <v>0</v>
      </c>
      <c r="Q12" s="120">
        <v>59.75</v>
      </c>
      <c r="R12" s="209">
        <v>91</v>
      </c>
      <c r="S12" s="142"/>
      <c r="T12" s="119">
        <v>0</v>
      </c>
      <c r="U12" s="120">
        <v>0</v>
      </c>
      <c r="V12" s="120">
        <v>0</v>
      </c>
      <c r="W12" s="121">
        <v>30</v>
      </c>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3"/>
      <c r="AV12" s="143"/>
      <c r="AW12" s="143"/>
      <c r="AX12" s="143"/>
      <c r="AY12" s="143"/>
      <c r="AZ12" s="143"/>
      <c r="BA12" s="143"/>
      <c r="BB12" s="143"/>
      <c r="BC12" s="143"/>
      <c r="BD12" s="143"/>
      <c r="BE12" s="143"/>
      <c r="BF12" s="143"/>
      <c r="BG12" s="143"/>
      <c r="BH12" s="143"/>
      <c r="BI12" s="143"/>
      <c r="BJ12" s="143"/>
      <c r="BK12" s="143"/>
      <c r="BL12" s="143"/>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c r="CK12" s="143"/>
      <c r="CL12" s="143"/>
      <c r="CM12" s="143"/>
      <c r="CN12" s="143"/>
      <c r="CO12" s="143"/>
      <c r="CP12" s="143"/>
      <c r="CQ12" s="143"/>
      <c r="CR12" s="143"/>
      <c r="CS12" s="143"/>
      <c r="CT12" s="143"/>
      <c r="CU12" s="143"/>
      <c r="CV12" s="143"/>
      <c r="CW12" s="143"/>
      <c r="CX12" s="143"/>
      <c r="CY12" s="143"/>
      <c r="CZ12" s="143"/>
      <c r="DA12" s="143"/>
      <c r="DB12" s="143"/>
      <c r="DC12" s="143"/>
      <c r="DD12" s="143"/>
      <c r="DE12" s="143"/>
      <c r="DF12" s="143"/>
      <c r="DG12" s="143"/>
      <c r="DH12" s="143"/>
      <c r="DI12" s="143"/>
      <c r="DJ12" s="143"/>
      <c r="DK12" s="143"/>
      <c r="DL12" s="143"/>
      <c r="DM12" s="143"/>
      <c r="DN12" s="143"/>
      <c r="DO12" s="143"/>
      <c r="DP12" s="143"/>
      <c r="DQ12" s="143"/>
      <c r="DR12" s="143"/>
      <c r="DS12" s="143"/>
      <c r="DT12" s="143"/>
      <c r="DU12" s="143"/>
      <c r="DV12" s="143"/>
      <c r="DW12" s="143"/>
      <c r="DX12" s="143"/>
      <c r="DY12" s="143"/>
      <c r="DZ12" s="143"/>
      <c r="EA12" s="143"/>
      <c r="EB12" s="143"/>
      <c r="EC12" s="143"/>
      <c r="ED12" s="143"/>
      <c r="EE12" s="143"/>
      <c r="EF12" s="143"/>
      <c r="EG12" s="143"/>
      <c r="EH12" s="143"/>
      <c r="EI12" s="143"/>
      <c r="EJ12" s="143"/>
      <c r="EK12" s="143"/>
      <c r="EL12" s="143"/>
      <c r="EM12" s="143"/>
      <c r="EN12" s="143"/>
      <c r="EO12" s="143"/>
      <c r="EP12" s="143"/>
      <c r="EQ12" s="143"/>
      <c r="ER12" s="143"/>
      <c r="ES12" s="143"/>
      <c r="ET12" s="143"/>
      <c r="EU12" s="143"/>
      <c r="EV12" s="143"/>
      <c r="EW12" s="143"/>
      <c r="EX12" s="143"/>
      <c r="EY12" s="143"/>
      <c r="EZ12" s="143"/>
      <c r="FA12" s="143"/>
      <c r="FB12" s="143"/>
      <c r="FC12" s="143"/>
      <c r="FD12" s="143"/>
      <c r="FE12" s="143"/>
      <c r="FF12" s="143"/>
      <c r="FG12" s="143"/>
      <c r="FH12" s="143"/>
      <c r="FI12" s="143"/>
      <c r="FJ12" s="143"/>
      <c r="FK12" s="143"/>
      <c r="FL12" s="143"/>
      <c r="FM12" s="143"/>
      <c r="FN12" s="143"/>
      <c r="FO12" s="143"/>
      <c r="FP12" s="143"/>
      <c r="FQ12" s="143"/>
      <c r="FR12" s="143"/>
      <c r="FS12" s="143"/>
      <c r="FT12" s="143"/>
      <c r="FU12" s="143"/>
      <c r="FV12" s="143"/>
      <c r="FW12" s="143"/>
      <c r="FX12" s="143"/>
      <c r="FY12" s="143"/>
      <c r="FZ12" s="143"/>
      <c r="GA12" s="143"/>
      <c r="GB12" s="143"/>
      <c r="GC12" s="143"/>
      <c r="GD12" s="143"/>
      <c r="GE12" s="143"/>
      <c r="GF12" s="143"/>
      <c r="GG12" s="143"/>
      <c r="GH12" s="143"/>
      <c r="GI12" s="143"/>
      <c r="GJ12" s="143"/>
      <c r="GK12" s="143"/>
      <c r="GL12" s="143"/>
      <c r="GM12" s="143"/>
      <c r="GN12" s="143"/>
      <c r="GO12" s="143"/>
      <c r="GP12" s="143"/>
      <c r="GQ12" s="143"/>
      <c r="GR12" s="143"/>
      <c r="GS12" s="143"/>
      <c r="GT12" s="143"/>
      <c r="GU12" s="143"/>
      <c r="GV12" s="143"/>
      <c r="GW12" s="143"/>
      <c r="GX12" s="143"/>
      <c r="GY12" s="143"/>
      <c r="GZ12" s="143"/>
      <c r="HA12" s="143"/>
      <c r="HB12" s="143"/>
      <c r="HC12" s="143"/>
      <c r="HD12" s="143"/>
      <c r="HE12" s="143"/>
      <c r="HF12" s="143"/>
      <c r="HG12" s="143"/>
      <c r="HH12" s="143"/>
      <c r="HI12" s="143"/>
      <c r="HJ12" s="143"/>
      <c r="HK12" s="143"/>
      <c r="HL12" s="143"/>
      <c r="HM12" s="143"/>
      <c r="HN12" s="143"/>
      <c r="HO12" s="143"/>
      <c r="HP12" s="143"/>
      <c r="HQ12" s="143"/>
      <c r="HR12" s="143"/>
      <c r="HS12" s="143"/>
      <c r="HT12" s="143"/>
      <c r="HU12" s="143"/>
      <c r="HV12" s="143"/>
      <c r="HW12" s="143"/>
      <c r="HX12" s="143"/>
      <c r="HY12" s="143"/>
      <c r="HZ12" s="143"/>
      <c r="IA12" s="143"/>
      <c r="IB12" s="143"/>
      <c r="IC12" s="143"/>
      <c r="ID12" s="143"/>
      <c r="IE12" s="143"/>
      <c r="IF12" s="143"/>
      <c r="IG12" s="143"/>
      <c r="IH12" s="143"/>
      <c r="II12" s="143"/>
      <c r="IJ12" s="143"/>
    </row>
    <row r="13" spans="1:244" s="137" customFormat="1" ht="14.25" customHeight="1" x14ac:dyDescent="0.2">
      <c r="A13" s="221" t="s">
        <v>75</v>
      </c>
      <c r="B13" s="177"/>
      <c r="C13" s="147" t="s">
        <v>24</v>
      </c>
      <c r="D13" s="70" t="s">
        <v>30</v>
      </c>
      <c r="E13" s="147">
        <v>2010</v>
      </c>
      <c r="F13" s="149">
        <v>12000</v>
      </c>
      <c r="G13" s="149">
        <v>35000</v>
      </c>
      <c r="H13" s="147" t="s">
        <v>19</v>
      </c>
      <c r="I13" s="147" t="s">
        <v>28</v>
      </c>
      <c r="J13" s="71">
        <v>40969</v>
      </c>
      <c r="K13" s="71">
        <v>42036</v>
      </c>
      <c r="L13" s="152">
        <v>510000</v>
      </c>
      <c r="M13" s="153">
        <v>573000</v>
      </c>
      <c r="N13" s="152"/>
      <c r="O13" s="195">
        <f>IFERROR(VLOOKUP($A13,'[1]2014'!$B$4:$R$52,14,0),0)</f>
        <v>0</v>
      </c>
      <c r="P13" s="142">
        <f>IFERROR(VLOOKUP($A13,'[1]2014'!$B$4:$R$52,15,0),0)</f>
        <v>13</v>
      </c>
      <c r="Q13" s="142">
        <f>IFERROR(VLOOKUP($A13,'[1]2014'!$B$4:$R$52,16,0),0)</f>
        <v>0</v>
      </c>
      <c r="R13" s="200">
        <f>IFERROR(VLOOKUP($A13,'[1]2014'!$B$4:$R$52,17,0),0)</f>
        <v>0</v>
      </c>
      <c r="S13" s="142"/>
      <c r="T13" s="81">
        <v>0</v>
      </c>
      <c r="U13" s="213">
        <v>0</v>
      </c>
      <c r="V13" s="142">
        <v>0</v>
      </c>
      <c r="W13" s="89">
        <v>61</v>
      </c>
      <c r="X13" s="143"/>
      <c r="Y13" s="143"/>
      <c r="Z13" s="143"/>
      <c r="AA13" s="143"/>
      <c r="AB13" s="143"/>
      <c r="AC13" s="143"/>
      <c r="AD13" s="143"/>
      <c r="AE13" s="143"/>
      <c r="AF13" s="143"/>
      <c r="AG13" s="143"/>
      <c r="AH13" s="143"/>
      <c r="AI13" s="143"/>
      <c r="AJ13" s="143"/>
      <c r="AK13" s="143"/>
      <c r="AL13" s="143"/>
      <c r="AM13" s="143"/>
      <c r="AN13" s="143"/>
      <c r="AO13" s="143"/>
      <c r="AP13" s="143"/>
      <c r="AQ13" s="143"/>
      <c r="AR13" s="143"/>
      <c r="AS13" s="143"/>
      <c r="AT13" s="143"/>
      <c r="AU13" s="143"/>
      <c r="AV13" s="143"/>
      <c r="AW13" s="143"/>
      <c r="AX13" s="143"/>
      <c r="AY13" s="143"/>
      <c r="AZ13" s="143"/>
      <c r="BA13" s="143"/>
      <c r="BB13" s="143"/>
      <c r="BC13" s="143"/>
      <c r="BD13" s="143"/>
      <c r="BE13" s="143"/>
      <c r="BF13" s="143"/>
      <c r="BG13" s="143"/>
      <c r="BH13" s="143"/>
      <c r="BI13" s="143"/>
      <c r="BJ13" s="143"/>
      <c r="BK13" s="143"/>
      <c r="BL13" s="143"/>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c r="CK13" s="143"/>
      <c r="CL13" s="143"/>
      <c r="CM13" s="143"/>
      <c r="CN13" s="143"/>
      <c r="CO13" s="143"/>
      <c r="CP13" s="143"/>
      <c r="CQ13" s="143"/>
      <c r="CR13" s="143"/>
      <c r="CS13" s="143"/>
      <c r="CT13" s="143"/>
      <c r="CU13" s="143"/>
      <c r="CV13" s="143"/>
      <c r="CW13" s="143"/>
      <c r="CX13" s="143"/>
      <c r="CY13" s="143"/>
      <c r="CZ13" s="143"/>
      <c r="DA13" s="143"/>
      <c r="DB13" s="143"/>
      <c r="DC13" s="143"/>
      <c r="DD13" s="143"/>
      <c r="DE13" s="143"/>
      <c r="DF13" s="143"/>
      <c r="DG13" s="143"/>
      <c r="DH13" s="143"/>
      <c r="DI13" s="143"/>
      <c r="DJ13" s="143"/>
      <c r="DK13" s="143"/>
      <c r="DL13" s="143"/>
      <c r="DM13" s="143"/>
      <c r="DN13" s="143"/>
      <c r="DO13" s="143"/>
      <c r="DP13" s="143"/>
      <c r="DQ13" s="143"/>
      <c r="DR13" s="143"/>
      <c r="DS13" s="143"/>
      <c r="DT13" s="143"/>
      <c r="DU13" s="143"/>
      <c r="DV13" s="143"/>
      <c r="DW13" s="143"/>
      <c r="DX13" s="143"/>
      <c r="DY13" s="143"/>
      <c r="DZ13" s="143"/>
      <c r="EA13" s="143"/>
      <c r="EB13" s="143"/>
      <c r="EC13" s="143"/>
      <c r="ED13" s="143"/>
      <c r="EE13" s="143"/>
      <c r="EF13" s="143"/>
      <c r="EG13" s="143"/>
      <c r="EH13" s="143"/>
      <c r="EI13" s="143"/>
      <c r="EJ13" s="143"/>
      <c r="EK13" s="143"/>
      <c r="EL13" s="143"/>
      <c r="EM13" s="143"/>
      <c r="EN13" s="143"/>
      <c r="EO13" s="143"/>
      <c r="EP13" s="143"/>
      <c r="EQ13" s="143"/>
      <c r="ER13" s="143"/>
      <c r="ES13" s="143"/>
      <c r="ET13" s="143"/>
      <c r="EU13" s="143"/>
      <c r="EV13" s="143"/>
      <c r="EW13" s="143"/>
      <c r="EX13" s="143"/>
      <c r="EY13" s="143"/>
      <c r="EZ13" s="143"/>
      <c r="FA13" s="143"/>
      <c r="FB13" s="143"/>
      <c r="FC13" s="143"/>
      <c r="FD13" s="143"/>
      <c r="FE13" s="143"/>
      <c r="FF13" s="143"/>
      <c r="FG13" s="143"/>
      <c r="FH13" s="143"/>
      <c r="FI13" s="143"/>
      <c r="FJ13" s="143"/>
      <c r="FK13" s="143"/>
      <c r="FL13" s="143"/>
      <c r="FM13" s="143"/>
      <c r="FN13" s="143"/>
      <c r="FO13" s="143"/>
      <c r="FP13" s="143"/>
      <c r="FQ13" s="143"/>
      <c r="FR13" s="143"/>
      <c r="FS13" s="143"/>
      <c r="FT13" s="143"/>
      <c r="FU13" s="143"/>
      <c r="FV13" s="143"/>
      <c r="FW13" s="143"/>
      <c r="FX13" s="143"/>
      <c r="FY13" s="143"/>
      <c r="FZ13" s="143"/>
      <c r="GA13" s="143"/>
      <c r="GB13" s="143"/>
      <c r="GC13" s="143"/>
      <c r="GD13" s="143"/>
      <c r="GE13" s="143"/>
      <c r="GF13" s="143"/>
      <c r="GG13" s="143"/>
      <c r="GH13" s="143"/>
      <c r="GI13" s="143"/>
      <c r="GJ13" s="143"/>
      <c r="GK13" s="143"/>
      <c r="GL13" s="143"/>
      <c r="GM13" s="143"/>
      <c r="GN13" s="143"/>
      <c r="GO13" s="143"/>
      <c r="GP13" s="143"/>
      <c r="GQ13" s="143"/>
      <c r="GR13" s="143"/>
      <c r="GS13" s="143"/>
      <c r="GT13" s="143"/>
      <c r="GU13" s="143"/>
      <c r="GV13" s="143"/>
      <c r="GW13" s="143"/>
      <c r="GX13" s="143"/>
      <c r="GY13" s="143"/>
      <c r="GZ13" s="143"/>
      <c r="HA13" s="143"/>
      <c r="HB13" s="143"/>
      <c r="HC13" s="143"/>
      <c r="HD13" s="143"/>
      <c r="HE13" s="143"/>
      <c r="HF13" s="143"/>
      <c r="HG13" s="143"/>
      <c r="HH13" s="143"/>
      <c r="HI13" s="143"/>
      <c r="HJ13" s="143"/>
      <c r="HK13" s="143"/>
      <c r="HL13" s="143"/>
      <c r="HM13" s="143"/>
      <c r="HN13" s="143"/>
      <c r="HO13" s="143"/>
      <c r="HP13" s="143"/>
      <c r="HQ13" s="143"/>
      <c r="HR13" s="143"/>
      <c r="HS13" s="143"/>
      <c r="HT13" s="143"/>
      <c r="HU13" s="143"/>
      <c r="HV13" s="143"/>
      <c r="HW13" s="143"/>
      <c r="HX13" s="143"/>
      <c r="HY13" s="143"/>
      <c r="HZ13" s="143"/>
      <c r="IA13" s="143"/>
      <c r="IB13" s="143"/>
      <c r="IC13" s="143"/>
      <c r="ID13" s="143"/>
      <c r="IE13" s="143"/>
      <c r="IF13" s="143"/>
      <c r="IG13" s="143"/>
      <c r="IH13" s="143"/>
      <c r="II13" s="143"/>
      <c r="IJ13" s="143"/>
    </row>
    <row r="14" spans="1:244" s="137" customFormat="1" ht="14.25" customHeight="1" x14ac:dyDescent="0.2">
      <c r="A14" s="221"/>
      <c r="B14" s="177"/>
      <c r="C14" s="147"/>
      <c r="D14" s="70"/>
      <c r="E14" s="147"/>
      <c r="F14" s="149"/>
      <c r="G14" s="149"/>
      <c r="H14" s="229" t="s">
        <v>19</v>
      </c>
      <c r="I14" s="229" t="s">
        <v>28</v>
      </c>
      <c r="J14" s="124">
        <f>K13</f>
        <v>42036</v>
      </c>
      <c r="K14" s="124">
        <v>42201</v>
      </c>
      <c r="L14" s="203">
        <v>395000</v>
      </c>
      <c r="M14" s="153">
        <v>510000</v>
      </c>
      <c r="N14" s="152"/>
      <c r="O14" s="195"/>
      <c r="P14" s="142"/>
      <c r="Q14" s="142"/>
      <c r="R14" s="200"/>
      <c r="S14" s="142"/>
      <c r="T14" s="195"/>
      <c r="U14" s="142"/>
      <c r="V14" s="142"/>
      <c r="W14" s="200"/>
      <c r="X14" s="143"/>
      <c r="Y14" s="143"/>
      <c r="Z14" s="143"/>
      <c r="AA14" s="143"/>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43"/>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c r="CK14" s="143"/>
      <c r="CL14" s="143"/>
      <c r="CM14" s="143"/>
      <c r="CN14" s="143"/>
      <c r="CO14" s="143"/>
      <c r="CP14" s="143"/>
      <c r="CQ14" s="143"/>
      <c r="CR14" s="143"/>
      <c r="CS14" s="143"/>
      <c r="CT14" s="143"/>
      <c r="CU14" s="143"/>
      <c r="CV14" s="143"/>
      <c r="CW14" s="143"/>
      <c r="CX14" s="143"/>
      <c r="CY14" s="143"/>
      <c r="CZ14" s="143"/>
      <c r="DA14" s="143"/>
      <c r="DB14" s="143"/>
      <c r="DC14" s="143"/>
      <c r="DD14" s="143"/>
      <c r="DE14" s="143"/>
      <c r="DF14" s="143"/>
      <c r="DG14" s="143"/>
      <c r="DH14" s="143"/>
      <c r="DI14" s="143"/>
      <c r="DJ14" s="143"/>
      <c r="DK14" s="143"/>
      <c r="DL14" s="143"/>
      <c r="DM14" s="143"/>
      <c r="DN14" s="143"/>
      <c r="DO14" s="143"/>
      <c r="DP14" s="143"/>
      <c r="DQ14" s="143"/>
      <c r="DR14" s="143"/>
      <c r="DS14" s="143"/>
      <c r="DT14" s="143"/>
      <c r="DU14" s="143"/>
      <c r="DV14" s="143"/>
      <c r="DW14" s="143"/>
      <c r="DX14" s="143"/>
      <c r="DY14" s="143"/>
      <c r="DZ14" s="143"/>
      <c r="EA14" s="143"/>
      <c r="EB14" s="143"/>
      <c r="EC14" s="143"/>
      <c r="ED14" s="143"/>
      <c r="EE14" s="143"/>
      <c r="EF14" s="143"/>
      <c r="EG14" s="143"/>
      <c r="EH14" s="143"/>
      <c r="EI14" s="143"/>
      <c r="EJ14" s="143"/>
      <c r="EK14" s="143"/>
      <c r="EL14" s="143"/>
      <c r="EM14" s="143"/>
      <c r="EN14" s="143"/>
      <c r="EO14" s="143"/>
      <c r="EP14" s="143"/>
      <c r="EQ14" s="143"/>
      <c r="ER14" s="143"/>
      <c r="ES14" s="143"/>
      <c r="ET14" s="143"/>
      <c r="EU14" s="143"/>
      <c r="EV14" s="143"/>
      <c r="EW14" s="143"/>
      <c r="EX14" s="143"/>
      <c r="EY14" s="143"/>
      <c r="EZ14" s="143"/>
      <c r="FA14" s="143"/>
      <c r="FB14" s="143"/>
      <c r="FC14" s="143"/>
      <c r="FD14" s="143"/>
      <c r="FE14" s="143"/>
      <c r="FF14" s="143"/>
      <c r="FG14" s="143"/>
      <c r="FH14" s="143"/>
      <c r="FI14" s="143"/>
      <c r="FJ14" s="143"/>
      <c r="FK14" s="143"/>
      <c r="FL14" s="143"/>
      <c r="FM14" s="143"/>
      <c r="FN14" s="143"/>
      <c r="FO14" s="143"/>
      <c r="FP14" s="143"/>
      <c r="FQ14" s="143"/>
      <c r="FR14" s="143"/>
      <c r="FS14" s="143"/>
      <c r="FT14" s="143"/>
      <c r="FU14" s="143"/>
      <c r="FV14" s="143"/>
      <c r="FW14" s="143"/>
      <c r="FX14" s="143"/>
      <c r="FY14" s="143"/>
      <c r="FZ14" s="143"/>
      <c r="GA14" s="143"/>
      <c r="GB14" s="143"/>
      <c r="GC14" s="143"/>
      <c r="GD14" s="143"/>
      <c r="GE14" s="143"/>
      <c r="GF14" s="143"/>
      <c r="GG14" s="143"/>
      <c r="GH14" s="143"/>
      <c r="GI14" s="143"/>
      <c r="GJ14" s="143"/>
      <c r="GK14" s="143"/>
      <c r="GL14" s="143"/>
      <c r="GM14" s="143"/>
      <c r="GN14" s="143"/>
      <c r="GO14" s="143"/>
      <c r="GP14" s="143"/>
      <c r="GQ14" s="143"/>
      <c r="GR14" s="143"/>
      <c r="GS14" s="143"/>
      <c r="GT14" s="143"/>
      <c r="GU14" s="143"/>
      <c r="GV14" s="143"/>
      <c r="GW14" s="143"/>
      <c r="GX14" s="143"/>
      <c r="GY14" s="143"/>
      <c r="GZ14" s="143"/>
      <c r="HA14" s="143"/>
      <c r="HB14" s="143"/>
      <c r="HC14" s="143"/>
      <c r="HD14" s="143"/>
      <c r="HE14" s="143"/>
      <c r="HF14" s="143"/>
      <c r="HG14" s="143"/>
      <c r="HH14" s="143"/>
      <c r="HI14" s="143"/>
      <c r="HJ14" s="143"/>
      <c r="HK14" s="143"/>
      <c r="HL14" s="143"/>
      <c r="HM14" s="143"/>
      <c r="HN14" s="143"/>
      <c r="HO14" s="143"/>
      <c r="HP14" s="143"/>
      <c r="HQ14" s="143"/>
      <c r="HR14" s="143"/>
      <c r="HS14" s="143"/>
      <c r="HT14" s="143"/>
      <c r="HU14" s="143"/>
      <c r="HV14" s="143"/>
      <c r="HW14" s="143"/>
      <c r="HX14" s="143"/>
      <c r="HY14" s="143"/>
      <c r="HZ14" s="143"/>
      <c r="IA14" s="143"/>
      <c r="IB14" s="143"/>
      <c r="IC14" s="143"/>
      <c r="ID14" s="143"/>
      <c r="IE14" s="143"/>
      <c r="IF14" s="143"/>
      <c r="IG14" s="143"/>
      <c r="IH14" s="143"/>
      <c r="II14" s="143"/>
      <c r="IJ14" s="143"/>
    </row>
    <row r="15" spans="1:244" s="137" customFormat="1" ht="14.25" customHeight="1" x14ac:dyDescent="0.2">
      <c r="A15" s="255" t="s">
        <v>106</v>
      </c>
      <c r="B15" s="291" t="s">
        <v>105</v>
      </c>
      <c r="C15" s="250" t="s">
        <v>24</v>
      </c>
      <c r="D15" s="278" t="s">
        <v>30</v>
      </c>
      <c r="E15" s="250">
        <v>1998</v>
      </c>
      <c r="F15" s="251">
        <v>10000</v>
      </c>
      <c r="G15" s="251">
        <v>30000</v>
      </c>
      <c r="H15" s="245"/>
      <c r="I15" s="245"/>
      <c r="J15" s="279"/>
      <c r="K15" s="279" t="s">
        <v>91</v>
      </c>
      <c r="L15" s="280"/>
      <c r="M15" s="281"/>
      <c r="N15" s="152"/>
      <c r="O15" s="283" t="s">
        <v>107</v>
      </c>
      <c r="P15" s="284" t="s">
        <v>107</v>
      </c>
      <c r="Q15" s="284" t="s">
        <v>107</v>
      </c>
      <c r="R15" s="285" t="s">
        <v>107</v>
      </c>
      <c r="S15" s="142"/>
      <c r="T15" s="283" t="s">
        <v>107</v>
      </c>
      <c r="U15" s="284" t="s">
        <v>107</v>
      </c>
      <c r="V15" s="284" t="s">
        <v>107</v>
      </c>
      <c r="W15" s="285" t="s">
        <v>107</v>
      </c>
      <c r="X15" s="143"/>
      <c r="Y15" s="143"/>
      <c r="Z15" s="143"/>
      <c r="AA15" s="143"/>
      <c r="AB15" s="143"/>
      <c r="AC15" s="143"/>
      <c r="AD15" s="143"/>
      <c r="AE15" s="143"/>
      <c r="AF15" s="143"/>
      <c r="AG15" s="143"/>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43"/>
      <c r="BL15" s="143"/>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c r="CK15" s="143"/>
      <c r="CL15" s="143"/>
      <c r="CM15" s="143"/>
      <c r="CN15" s="143"/>
      <c r="CO15" s="143"/>
      <c r="CP15" s="143"/>
      <c r="CQ15" s="143"/>
      <c r="CR15" s="143"/>
      <c r="CS15" s="143"/>
      <c r="CT15" s="143"/>
      <c r="CU15" s="143"/>
      <c r="CV15" s="143"/>
      <c r="CW15" s="143"/>
      <c r="CX15" s="143"/>
      <c r="CY15" s="143"/>
      <c r="CZ15" s="143"/>
      <c r="DA15" s="143"/>
      <c r="DB15" s="143"/>
      <c r="DC15" s="143"/>
      <c r="DD15" s="143"/>
      <c r="DE15" s="143"/>
      <c r="DF15" s="143"/>
      <c r="DG15" s="143"/>
      <c r="DH15" s="143"/>
      <c r="DI15" s="143"/>
      <c r="DJ15" s="143"/>
      <c r="DK15" s="143"/>
      <c r="DL15" s="143"/>
      <c r="DM15" s="143"/>
      <c r="DN15" s="143"/>
      <c r="DO15" s="143"/>
      <c r="DP15" s="143"/>
      <c r="DQ15" s="143"/>
      <c r="DR15" s="143"/>
      <c r="DS15" s="143"/>
      <c r="DT15" s="143"/>
      <c r="DU15" s="143"/>
      <c r="DV15" s="143"/>
      <c r="DW15" s="143"/>
      <c r="DX15" s="143"/>
      <c r="DY15" s="143"/>
      <c r="DZ15" s="143"/>
      <c r="EA15" s="143"/>
      <c r="EB15" s="143"/>
      <c r="EC15" s="143"/>
      <c r="ED15" s="143"/>
      <c r="EE15" s="143"/>
      <c r="EF15" s="143"/>
      <c r="EG15" s="143"/>
      <c r="EH15" s="143"/>
      <c r="EI15" s="143"/>
      <c r="EJ15" s="143"/>
      <c r="EK15" s="143"/>
      <c r="EL15" s="143"/>
      <c r="EM15" s="143"/>
      <c r="EN15" s="143"/>
      <c r="EO15" s="143"/>
      <c r="EP15" s="143"/>
      <c r="EQ15" s="143"/>
      <c r="ER15" s="143"/>
      <c r="ES15" s="143"/>
      <c r="ET15" s="143"/>
      <c r="EU15" s="143"/>
      <c r="EV15" s="143"/>
      <c r="EW15" s="143"/>
      <c r="EX15" s="143"/>
      <c r="EY15" s="143"/>
      <c r="EZ15" s="143"/>
      <c r="FA15" s="143"/>
      <c r="FB15" s="143"/>
      <c r="FC15" s="143"/>
      <c r="FD15" s="143"/>
      <c r="FE15" s="143"/>
      <c r="FF15" s="143"/>
      <c r="FG15" s="143"/>
      <c r="FH15" s="143"/>
      <c r="FI15" s="143"/>
      <c r="FJ15" s="143"/>
      <c r="FK15" s="143"/>
      <c r="FL15" s="143"/>
      <c r="FM15" s="143"/>
      <c r="FN15" s="143"/>
      <c r="FO15" s="143"/>
      <c r="FP15" s="143"/>
      <c r="FQ15" s="143"/>
      <c r="FR15" s="143"/>
      <c r="FS15" s="143"/>
      <c r="FT15" s="143"/>
      <c r="FU15" s="143"/>
      <c r="FV15" s="143"/>
      <c r="FW15" s="143"/>
      <c r="FX15" s="143"/>
      <c r="FY15" s="143"/>
      <c r="FZ15" s="143"/>
      <c r="GA15" s="143"/>
      <c r="GB15" s="143"/>
      <c r="GC15" s="143"/>
      <c r="GD15" s="143"/>
      <c r="GE15" s="143"/>
      <c r="GF15" s="143"/>
      <c r="GG15" s="143"/>
      <c r="GH15" s="143"/>
      <c r="GI15" s="143"/>
      <c r="GJ15" s="143"/>
      <c r="GK15" s="143"/>
      <c r="GL15" s="143"/>
      <c r="GM15" s="143"/>
      <c r="GN15" s="143"/>
      <c r="GO15" s="143"/>
      <c r="GP15" s="143"/>
      <c r="GQ15" s="143"/>
      <c r="GR15" s="143"/>
      <c r="GS15" s="143"/>
      <c r="GT15" s="143"/>
      <c r="GU15" s="143"/>
      <c r="GV15" s="143"/>
      <c r="GW15" s="143"/>
      <c r="GX15" s="143"/>
      <c r="GY15" s="143"/>
      <c r="GZ15" s="143"/>
      <c r="HA15" s="143"/>
      <c r="HB15" s="143"/>
      <c r="HC15" s="143"/>
      <c r="HD15" s="143"/>
      <c r="HE15" s="143"/>
      <c r="HF15" s="143"/>
      <c r="HG15" s="143"/>
      <c r="HH15" s="143"/>
      <c r="HI15" s="143"/>
      <c r="HJ15" s="143"/>
      <c r="HK15" s="143"/>
      <c r="HL15" s="143"/>
      <c r="HM15" s="143"/>
      <c r="HN15" s="143"/>
      <c r="HO15" s="143"/>
      <c r="HP15" s="143"/>
      <c r="HQ15" s="143"/>
      <c r="HR15" s="143"/>
      <c r="HS15" s="143"/>
      <c r="HT15" s="143"/>
      <c r="HU15" s="143"/>
      <c r="HV15" s="143"/>
      <c r="HW15" s="143"/>
      <c r="HX15" s="143"/>
      <c r="HY15" s="143"/>
      <c r="HZ15" s="143"/>
      <c r="IA15" s="143"/>
      <c r="IB15" s="143"/>
      <c r="IC15" s="143"/>
      <c r="ID15" s="143"/>
      <c r="IE15" s="143"/>
      <c r="IF15" s="143"/>
      <c r="IG15" s="143"/>
      <c r="IH15" s="143"/>
      <c r="II15" s="143"/>
      <c r="IJ15" s="143"/>
    </row>
    <row r="16" spans="1:244" s="112" customFormat="1" ht="14.25" customHeight="1" x14ac:dyDescent="0.2">
      <c r="A16" s="257" t="s">
        <v>73</v>
      </c>
      <c r="B16" s="177"/>
      <c r="C16" s="258" t="s">
        <v>24</v>
      </c>
      <c r="D16" s="157" t="s">
        <v>30</v>
      </c>
      <c r="E16" s="259">
        <v>1999</v>
      </c>
      <c r="F16" s="260">
        <v>8500</v>
      </c>
      <c r="G16" s="260">
        <v>30000</v>
      </c>
      <c r="H16" s="261"/>
      <c r="I16" s="261"/>
      <c r="J16" s="201"/>
      <c r="K16" s="249" t="s">
        <v>91</v>
      </c>
      <c r="L16" s="152"/>
      <c r="M16" s="153"/>
      <c r="N16" s="152"/>
      <c r="O16" s="195">
        <v>0</v>
      </c>
      <c r="P16" s="142">
        <v>0</v>
      </c>
      <c r="Q16" s="142">
        <v>0</v>
      </c>
      <c r="R16" s="200">
        <v>0</v>
      </c>
      <c r="S16" s="142"/>
      <c r="T16" s="195">
        <v>0</v>
      </c>
      <c r="U16" s="142">
        <v>0</v>
      </c>
      <c r="V16" s="142">
        <v>0</v>
      </c>
      <c r="W16" s="200">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40"/>
      <c r="DO16" s="140"/>
      <c r="DP16" s="140"/>
      <c r="DQ16" s="140"/>
      <c r="DR16" s="140"/>
      <c r="DS16" s="140"/>
      <c r="DT16" s="140"/>
      <c r="DU16" s="140"/>
      <c r="DV16" s="140"/>
      <c r="DW16" s="140"/>
      <c r="DX16" s="140"/>
      <c r="DY16" s="140"/>
      <c r="DZ16" s="140"/>
      <c r="EA16" s="140"/>
      <c r="EB16" s="140"/>
      <c r="EC16" s="140"/>
      <c r="ED16" s="140"/>
      <c r="EE16" s="140"/>
      <c r="EF16" s="140"/>
      <c r="EG16" s="140"/>
      <c r="EH16" s="140"/>
      <c r="EI16" s="140"/>
      <c r="EJ16" s="140"/>
      <c r="EK16" s="140"/>
      <c r="EL16" s="140"/>
      <c r="EM16" s="140"/>
      <c r="EN16" s="140"/>
      <c r="EO16" s="140"/>
      <c r="EP16" s="140"/>
      <c r="EQ16" s="140"/>
      <c r="ER16" s="140"/>
      <c r="ES16" s="140"/>
      <c r="ET16" s="140"/>
      <c r="EU16" s="140"/>
      <c r="EV16" s="140"/>
      <c r="EW16" s="140"/>
      <c r="EX16" s="140"/>
      <c r="EY16" s="140"/>
      <c r="EZ16" s="140"/>
      <c r="FA16" s="140"/>
      <c r="FB16" s="140"/>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40"/>
      <c r="GE16" s="140"/>
      <c r="GF16" s="140"/>
      <c r="GG16" s="140"/>
      <c r="GH16" s="140"/>
      <c r="GI16" s="140"/>
      <c r="GJ16" s="140"/>
      <c r="GK16" s="140"/>
      <c r="GL16" s="140"/>
      <c r="GM16" s="140"/>
      <c r="GN16" s="140"/>
      <c r="GO16" s="140"/>
      <c r="GP16" s="140"/>
      <c r="GQ16" s="140"/>
      <c r="GR16" s="140"/>
      <c r="GS16" s="140"/>
      <c r="GT16" s="140"/>
      <c r="GU16" s="140"/>
      <c r="GV16" s="140"/>
      <c r="GW16" s="140"/>
      <c r="GX16" s="140"/>
      <c r="GY16" s="140"/>
      <c r="GZ16" s="140"/>
      <c r="HA16" s="140"/>
      <c r="HB16" s="140"/>
      <c r="HC16" s="140"/>
      <c r="HD16" s="140"/>
      <c r="HE16" s="140"/>
      <c r="HF16" s="140"/>
      <c r="HG16" s="140"/>
      <c r="HH16" s="140"/>
      <c r="HI16" s="140"/>
      <c r="HJ16" s="140"/>
      <c r="HK16" s="140"/>
      <c r="HL16" s="140"/>
      <c r="HM16" s="140"/>
      <c r="HN16" s="140"/>
      <c r="HO16" s="140"/>
      <c r="HP16" s="140"/>
      <c r="HQ16" s="140"/>
      <c r="HR16" s="140"/>
      <c r="HS16" s="140"/>
      <c r="HT16" s="140"/>
      <c r="HU16" s="140"/>
      <c r="HV16" s="140"/>
      <c r="HW16" s="140"/>
      <c r="HX16" s="140"/>
      <c r="HY16" s="140"/>
      <c r="HZ16" s="140"/>
      <c r="IA16" s="140"/>
      <c r="IB16" s="140"/>
      <c r="IC16" s="140"/>
      <c r="ID16" s="140"/>
      <c r="IE16" s="140"/>
      <c r="IF16" s="140"/>
      <c r="IG16" s="140"/>
      <c r="IH16" s="140"/>
      <c r="II16" s="140"/>
      <c r="IJ16" s="140"/>
    </row>
    <row r="17" spans="1:244" s="112" customFormat="1" ht="14.25" customHeight="1" x14ac:dyDescent="0.2">
      <c r="A17" s="286" t="s">
        <v>76</v>
      </c>
      <c r="B17" s="287" t="s">
        <v>87</v>
      </c>
      <c r="C17" s="250" t="s">
        <v>25</v>
      </c>
      <c r="D17" s="250"/>
      <c r="E17" s="250">
        <v>2000</v>
      </c>
      <c r="F17" s="251">
        <v>8000</v>
      </c>
      <c r="G17" s="251">
        <v>30000</v>
      </c>
      <c r="H17" s="250" t="s">
        <v>12</v>
      </c>
      <c r="I17" s="250" t="s">
        <v>16</v>
      </c>
      <c r="J17" s="288">
        <v>41122</v>
      </c>
      <c r="K17" s="288">
        <v>42948</v>
      </c>
      <c r="L17" s="282">
        <v>531000</v>
      </c>
      <c r="M17" s="281">
        <v>551000</v>
      </c>
      <c r="N17" s="152"/>
      <c r="O17" s="283">
        <v>0</v>
      </c>
      <c r="P17" s="284">
        <v>0</v>
      </c>
      <c r="Q17" s="284">
        <v>0</v>
      </c>
      <c r="R17" s="285">
        <v>0</v>
      </c>
      <c r="S17" s="142"/>
      <c r="T17" s="289">
        <v>28</v>
      </c>
      <c r="U17" s="290">
        <v>91</v>
      </c>
      <c r="V17" s="290">
        <v>15</v>
      </c>
      <c r="W17" s="285">
        <v>0</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40"/>
      <c r="DO17" s="140"/>
      <c r="DP17" s="140"/>
      <c r="DQ17" s="140"/>
      <c r="DR17" s="140"/>
      <c r="DS17" s="140"/>
      <c r="DT17" s="140"/>
      <c r="DU17" s="140"/>
      <c r="DV17" s="140"/>
      <c r="DW17" s="140"/>
      <c r="DX17" s="140"/>
      <c r="DY17" s="140"/>
      <c r="DZ17" s="140"/>
      <c r="EA17" s="140"/>
      <c r="EB17" s="140"/>
      <c r="EC17" s="140"/>
      <c r="ED17" s="140"/>
      <c r="EE17" s="140"/>
      <c r="EF17" s="140"/>
      <c r="EG17" s="140"/>
      <c r="EH17" s="140"/>
      <c r="EI17" s="140"/>
      <c r="EJ17" s="140"/>
      <c r="EK17" s="140"/>
      <c r="EL17" s="140"/>
      <c r="EM17" s="140"/>
      <c r="EN17" s="140"/>
      <c r="EO17" s="140"/>
      <c r="EP17" s="140"/>
      <c r="EQ17" s="140"/>
      <c r="ER17" s="140"/>
      <c r="ES17" s="140"/>
      <c r="ET17" s="140"/>
      <c r="EU17" s="140"/>
      <c r="EV17" s="140"/>
      <c r="EW17" s="140"/>
      <c r="EX17" s="140"/>
      <c r="EY17" s="140"/>
      <c r="EZ17" s="140"/>
      <c r="FA17" s="140"/>
      <c r="FB17" s="140"/>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40"/>
      <c r="GE17" s="140"/>
      <c r="GF17" s="140"/>
      <c r="GG17" s="140"/>
      <c r="GH17" s="140"/>
      <c r="GI17" s="140"/>
      <c r="GJ17" s="140"/>
      <c r="GK17" s="140"/>
      <c r="GL17" s="140"/>
      <c r="GM17" s="140"/>
      <c r="GN17" s="140"/>
      <c r="GO17" s="140"/>
      <c r="GP17" s="140"/>
      <c r="GQ17" s="140"/>
      <c r="GR17" s="140"/>
      <c r="GS17" s="140"/>
      <c r="GT17" s="140"/>
      <c r="GU17" s="140"/>
      <c r="GV17" s="140"/>
      <c r="GW17" s="140"/>
      <c r="GX17" s="140"/>
      <c r="GY17" s="140"/>
      <c r="GZ17" s="140"/>
      <c r="HA17" s="140"/>
      <c r="HB17" s="140"/>
      <c r="HC17" s="140"/>
      <c r="HD17" s="140"/>
      <c r="HE17" s="140"/>
      <c r="HF17" s="140"/>
      <c r="HG17" s="140"/>
      <c r="HH17" s="140"/>
      <c r="HI17" s="140"/>
      <c r="HJ17" s="140"/>
      <c r="HK17" s="140"/>
      <c r="HL17" s="140"/>
      <c r="HM17" s="140"/>
      <c r="HN17" s="140"/>
      <c r="HO17" s="140"/>
      <c r="HP17" s="140"/>
      <c r="HQ17" s="140"/>
      <c r="HR17" s="140"/>
      <c r="HS17" s="140"/>
      <c r="HT17" s="140"/>
      <c r="HU17" s="140"/>
      <c r="HV17" s="140"/>
      <c r="HW17" s="140"/>
      <c r="HX17" s="140"/>
      <c r="HY17" s="140"/>
      <c r="HZ17" s="140"/>
      <c r="IA17" s="140"/>
      <c r="IB17" s="140"/>
      <c r="IC17" s="140"/>
      <c r="ID17" s="140"/>
      <c r="IE17" s="140"/>
      <c r="IF17" s="140"/>
      <c r="IG17" s="140"/>
      <c r="IH17" s="140"/>
      <c r="II17" s="140"/>
      <c r="IJ17" s="140"/>
    </row>
    <row r="18" spans="1:244" s="112" customFormat="1" ht="14.25" customHeight="1" x14ac:dyDescent="0.2">
      <c r="A18" s="262" t="s">
        <v>35</v>
      </c>
      <c r="B18" s="177"/>
      <c r="C18" s="138" t="s">
        <v>24</v>
      </c>
      <c r="D18" s="157" t="s">
        <v>30</v>
      </c>
      <c r="E18" s="138" t="s">
        <v>36</v>
      </c>
      <c r="F18" s="248">
        <v>7800</v>
      </c>
      <c r="G18" s="139">
        <v>30000</v>
      </c>
      <c r="H18" s="247"/>
      <c r="I18" s="263"/>
      <c r="J18" s="201"/>
      <c r="K18" s="249" t="s">
        <v>91</v>
      </c>
      <c r="L18" s="152"/>
      <c r="M18" s="153"/>
      <c r="N18" s="152"/>
      <c r="O18" s="195">
        <v>0</v>
      </c>
      <c r="P18" s="142">
        <v>0</v>
      </c>
      <c r="Q18" s="142">
        <v>0</v>
      </c>
      <c r="R18" s="200">
        <v>0</v>
      </c>
      <c r="S18" s="142"/>
      <c r="T18" s="195">
        <v>0</v>
      </c>
      <c r="U18" s="142">
        <v>0</v>
      </c>
      <c r="V18" s="142">
        <v>0</v>
      </c>
      <c r="W18" s="200">
        <v>0</v>
      </c>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40"/>
      <c r="DO18" s="140"/>
      <c r="DP18" s="140"/>
      <c r="DQ18" s="140"/>
      <c r="DR18" s="140"/>
      <c r="DS18" s="140"/>
      <c r="DT18" s="140"/>
      <c r="DU18" s="140"/>
      <c r="DV18" s="140"/>
      <c r="DW18" s="140"/>
      <c r="DX18" s="140"/>
      <c r="DY18" s="140"/>
      <c r="DZ18" s="140"/>
      <c r="EA18" s="140"/>
      <c r="EB18" s="140"/>
      <c r="EC18" s="140"/>
      <c r="ED18" s="140"/>
      <c r="EE18" s="140"/>
      <c r="EF18" s="140"/>
      <c r="EG18" s="140"/>
      <c r="EH18" s="140"/>
      <c r="EI18" s="140"/>
      <c r="EJ18" s="140"/>
      <c r="EK18" s="140"/>
      <c r="EL18" s="140"/>
      <c r="EM18" s="140"/>
      <c r="EN18" s="140"/>
      <c r="EO18" s="140"/>
      <c r="EP18" s="140"/>
      <c r="EQ18" s="140"/>
      <c r="ER18" s="140"/>
      <c r="ES18" s="140"/>
      <c r="ET18" s="140"/>
      <c r="EU18" s="140"/>
      <c r="EV18" s="140"/>
      <c r="EW18" s="140"/>
      <c r="EX18" s="140"/>
      <c r="EY18" s="140"/>
      <c r="EZ18" s="140"/>
      <c r="FA18" s="140"/>
      <c r="FB18" s="140"/>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40"/>
      <c r="GE18" s="140"/>
      <c r="GF18" s="140"/>
      <c r="GG18" s="140"/>
      <c r="GH18" s="140"/>
      <c r="GI18" s="140"/>
      <c r="GJ18" s="140"/>
      <c r="GK18" s="140"/>
      <c r="GL18" s="140"/>
      <c r="GM18" s="140"/>
      <c r="GN18" s="140"/>
      <c r="GO18" s="140"/>
      <c r="GP18" s="140"/>
      <c r="GQ18" s="140"/>
      <c r="GR18" s="140"/>
      <c r="GS18" s="140"/>
      <c r="GT18" s="140"/>
      <c r="GU18" s="140"/>
      <c r="GV18" s="140"/>
      <c r="GW18" s="140"/>
      <c r="GX18" s="140"/>
      <c r="GY18" s="140"/>
      <c r="GZ18" s="140"/>
      <c r="HA18" s="140"/>
      <c r="HB18" s="140"/>
      <c r="HC18" s="140"/>
      <c r="HD18" s="140"/>
      <c r="HE18" s="140"/>
      <c r="HF18" s="140"/>
      <c r="HG18" s="140"/>
      <c r="HH18" s="140"/>
      <c r="HI18" s="140"/>
      <c r="HJ18" s="140"/>
      <c r="HK18" s="140"/>
      <c r="HL18" s="140"/>
      <c r="HM18" s="140"/>
      <c r="HN18" s="140"/>
      <c r="HO18" s="140"/>
      <c r="HP18" s="140"/>
      <c r="HQ18" s="140"/>
      <c r="HR18" s="140"/>
      <c r="HS18" s="140"/>
      <c r="HT18" s="140"/>
      <c r="HU18" s="140"/>
      <c r="HV18" s="140"/>
      <c r="HW18" s="140"/>
      <c r="HX18" s="140"/>
      <c r="HY18" s="140"/>
      <c r="HZ18" s="140"/>
      <c r="IA18" s="140"/>
      <c r="IB18" s="140"/>
      <c r="IC18" s="140"/>
      <c r="ID18" s="140"/>
      <c r="IE18" s="140"/>
      <c r="IF18" s="140"/>
      <c r="IG18" s="140"/>
      <c r="IH18" s="140"/>
      <c r="II18" s="140"/>
      <c r="IJ18" s="140"/>
    </row>
    <row r="19" spans="1:244" s="112" customFormat="1" ht="14.25" customHeight="1" x14ac:dyDescent="0.2">
      <c r="A19" s="307" t="s">
        <v>77</v>
      </c>
      <c r="B19" s="291" t="s">
        <v>98</v>
      </c>
      <c r="C19" s="292" t="s">
        <v>25</v>
      </c>
      <c r="D19" s="293" t="s">
        <v>30</v>
      </c>
      <c r="E19" s="292">
        <v>2005</v>
      </c>
      <c r="F19" s="251">
        <v>7500</v>
      </c>
      <c r="G19" s="294">
        <v>37500</v>
      </c>
      <c r="H19" s="245" t="s">
        <v>18</v>
      </c>
      <c r="I19" s="295" t="s">
        <v>29</v>
      </c>
      <c r="J19" s="246">
        <v>42140</v>
      </c>
      <c r="K19" s="246">
        <v>42871</v>
      </c>
      <c r="L19" s="280">
        <v>382000</v>
      </c>
      <c r="M19" s="296" t="s">
        <v>20</v>
      </c>
      <c r="N19" s="152"/>
      <c r="O19" s="283">
        <v>0</v>
      </c>
      <c r="P19" s="284">
        <v>0</v>
      </c>
      <c r="Q19" s="284">
        <v>0</v>
      </c>
      <c r="R19" s="297">
        <v>20</v>
      </c>
      <c r="S19" s="142"/>
      <c r="T19" s="289">
        <v>78</v>
      </c>
      <c r="U19" s="284">
        <v>0</v>
      </c>
      <c r="V19" s="284">
        <v>0</v>
      </c>
      <c r="W19" s="285">
        <v>0</v>
      </c>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40"/>
      <c r="DO19" s="140"/>
      <c r="DP19" s="140"/>
      <c r="DQ19" s="140"/>
      <c r="DR19" s="140"/>
      <c r="DS19" s="140"/>
      <c r="DT19" s="140"/>
      <c r="DU19" s="140"/>
      <c r="DV19" s="140"/>
      <c r="DW19" s="140"/>
      <c r="DX19" s="140"/>
      <c r="DY19" s="140"/>
      <c r="DZ19" s="140"/>
      <c r="EA19" s="140"/>
      <c r="EB19" s="140"/>
      <c r="EC19" s="140"/>
      <c r="ED19" s="140"/>
      <c r="EE19" s="140"/>
      <c r="EF19" s="140"/>
      <c r="EG19" s="140"/>
      <c r="EH19" s="140"/>
      <c r="EI19" s="140"/>
      <c r="EJ19" s="140"/>
      <c r="EK19" s="140"/>
      <c r="EL19" s="140"/>
      <c r="EM19" s="140"/>
      <c r="EN19" s="140"/>
      <c r="EO19" s="140"/>
      <c r="EP19" s="140"/>
      <c r="EQ19" s="140"/>
      <c r="ER19" s="140"/>
      <c r="ES19" s="140"/>
      <c r="ET19" s="140"/>
      <c r="EU19" s="140"/>
      <c r="EV19" s="140"/>
      <c r="EW19" s="140"/>
      <c r="EX19" s="140"/>
      <c r="EY19" s="140"/>
      <c r="EZ19" s="140"/>
      <c r="FA19" s="140"/>
      <c r="FB19" s="140"/>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40"/>
      <c r="GE19" s="140"/>
      <c r="GF19" s="140"/>
      <c r="GG19" s="140"/>
      <c r="GH19" s="140"/>
      <c r="GI19" s="140"/>
      <c r="GJ19" s="140"/>
      <c r="GK19" s="140"/>
      <c r="GL19" s="140"/>
      <c r="GM19" s="140"/>
      <c r="GN19" s="140"/>
      <c r="GO19" s="140"/>
      <c r="GP19" s="140"/>
      <c r="GQ19" s="140"/>
      <c r="GR19" s="140"/>
      <c r="GS19" s="140"/>
      <c r="GT19" s="140"/>
      <c r="GU19" s="140"/>
      <c r="GV19" s="140"/>
      <c r="GW19" s="140"/>
      <c r="GX19" s="140"/>
      <c r="GY19" s="140"/>
      <c r="GZ19" s="140"/>
      <c r="HA19" s="140"/>
      <c r="HB19" s="140"/>
      <c r="HC19" s="140"/>
      <c r="HD19" s="140"/>
      <c r="HE19" s="140"/>
      <c r="HF19" s="140"/>
      <c r="HG19" s="140"/>
      <c r="HH19" s="140"/>
      <c r="HI19" s="140"/>
      <c r="HJ19" s="140"/>
      <c r="HK19" s="140"/>
      <c r="HL19" s="140"/>
      <c r="HM19" s="140"/>
      <c r="HN19" s="140"/>
      <c r="HO19" s="140"/>
      <c r="HP19" s="140"/>
      <c r="HQ19" s="140"/>
      <c r="HR19" s="140"/>
      <c r="HS19" s="140"/>
      <c r="HT19" s="140"/>
      <c r="HU19" s="140"/>
      <c r="HV19" s="140"/>
      <c r="HW19" s="140"/>
      <c r="HX19" s="140"/>
      <c r="HY19" s="140"/>
      <c r="HZ19" s="140"/>
      <c r="IA19" s="140"/>
      <c r="IB19" s="140"/>
      <c r="IC19" s="140"/>
      <c r="ID19" s="140"/>
      <c r="IE19" s="140"/>
      <c r="IF19" s="140"/>
      <c r="IG19" s="140"/>
      <c r="IH19" s="140"/>
      <c r="II19" s="140"/>
      <c r="IJ19" s="140"/>
    </row>
    <row r="20" spans="1:244" s="137" customFormat="1" ht="14.25" customHeight="1" x14ac:dyDescent="0.2">
      <c r="A20" s="264" t="s">
        <v>78</v>
      </c>
      <c r="B20" s="265" t="s">
        <v>50</v>
      </c>
      <c r="C20" s="266" t="s">
        <v>25</v>
      </c>
      <c r="D20" s="267" t="s">
        <v>30</v>
      </c>
      <c r="E20" s="266">
        <v>2001</v>
      </c>
      <c r="F20" s="268">
        <v>7500</v>
      </c>
      <c r="G20" s="268">
        <v>35000</v>
      </c>
      <c r="H20" s="269" t="s">
        <v>15</v>
      </c>
      <c r="I20" s="269" t="s">
        <v>101</v>
      </c>
      <c r="J20" s="270">
        <v>42000</v>
      </c>
      <c r="K20" s="270">
        <v>42005</v>
      </c>
      <c r="L20" s="271">
        <v>300000</v>
      </c>
      <c r="M20" s="272" t="s">
        <v>20</v>
      </c>
      <c r="N20" s="152"/>
      <c r="O20" s="273">
        <v>0</v>
      </c>
      <c r="P20" s="274">
        <v>0</v>
      </c>
      <c r="Q20" s="274">
        <v>0</v>
      </c>
      <c r="R20" s="275">
        <v>0</v>
      </c>
      <c r="S20" s="142"/>
      <c r="T20" s="273">
        <v>0</v>
      </c>
      <c r="U20" s="274">
        <v>0</v>
      </c>
      <c r="V20" s="276">
        <v>0</v>
      </c>
      <c r="W20" s="277">
        <v>0</v>
      </c>
      <c r="X20" s="143"/>
      <c r="Y20" s="143"/>
      <c r="Z20" s="143"/>
      <c r="AA20" s="143"/>
      <c r="AB20" s="143"/>
      <c r="AC20" s="143"/>
      <c r="AD20" s="143"/>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43"/>
      <c r="BH20" s="143"/>
      <c r="BI20" s="143"/>
      <c r="BJ20" s="143"/>
      <c r="BK20" s="143"/>
      <c r="BL20" s="143"/>
      <c r="BM20" s="143"/>
      <c r="BN20" s="143"/>
      <c r="BO20" s="143"/>
      <c r="BP20" s="143"/>
      <c r="BQ20" s="143"/>
      <c r="BR20" s="143"/>
      <c r="BS20" s="143"/>
      <c r="BT20" s="143"/>
      <c r="BU20" s="143"/>
      <c r="BV20" s="143"/>
      <c r="BW20" s="143"/>
      <c r="BX20" s="143"/>
      <c r="BY20" s="143"/>
      <c r="BZ20" s="143"/>
      <c r="CA20" s="143"/>
      <c r="CB20" s="143"/>
      <c r="CC20" s="143"/>
      <c r="CD20" s="143"/>
      <c r="CE20" s="143"/>
      <c r="CF20" s="143"/>
      <c r="CG20" s="143"/>
      <c r="CH20" s="143"/>
      <c r="CI20" s="143"/>
      <c r="CJ20" s="143"/>
      <c r="CK20" s="143"/>
      <c r="CL20" s="143"/>
      <c r="CM20" s="143"/>
      <c r="CN20" s="143"/>
      <c r="CO20" s="143"/>
      <c r="CP20" s="143"/>
      <c r="CQ20" s="143"/>
      <c r="CR20" s="143"/>
      <c r="CS20" s="143"/>
      <c r="CT20" s="143"/>
      <c r="CU20" s="143"/>
      <c r="CV20" s="143"/>
      <c r="CW20" s="143"/>
      <c r="CX20" s="143"/>
      <c r="CY20" s="143"/>
      <c r="CZ20" s="143"/>
      <c r="DA20" s="143"/>
      <c r="DB20" s="143"/>
      <c r="DC20" s="143"/>
      <c r="DD20" s="143"/>
      <c r="DE20" s="143"/>
      <c r="DF20" s="143"/>
      <c r="DG20" s="143"/>
      <c r="DH20" s="143"/>
      <c r="DI20" s="143"/>
      <c r="DJ20" s="143"/>
      <c r="DK20" s="143"/>
      <c r="DL20" s="143"/>
      <c r="DM20" s="143"/>
      <c r="DN20" s="143"/>
      <c r="DO20" s="143"/>
      <c r="DP20" s="143"/>
      <c r="DQ20" s="143"/>
      <c r="DR20" s="143"/>
      <c r="DS20" s="143"/>
      <c r="DT20" s="143"/>
      <c r="DU20" s="143"/>
      <c r="DV20" s="143"/>
      <c r="DW20" s="143"/>
      <c r="DX20" s="143"/>
      <c r="DY20" s="143"/>
      <c r="DZ20" s="143"/>
      <c r="EA20" s="143"/>
      <c r="EB20" s="143"/>
      <c r="EC20" s="143"/>
      <c r="ED20" s="143"/>
      <c r="EE20" s="143"/>
      <c r="EF20" s="143"/>
      <c r="EG20" s="143"/>
      <c r="EH20" s="143"/>
      <c r="EI20" s="143"/>
      <c r="EJ20" s="143"/>
      <c r="EK20" s="143"/>
      <c r="EL20" s="143"/>
      <c r="EM20" s="143"/>
      <c r="EN20" s="143"/>
      <c r="EO20" s="143"/>
      <c r="EP20" s="143"/>
      <c r="EQ20" s="143"/>
      <c r="ER20" s="143"/>
      <c r="ES20" s="143"/>
      <c r="ET20" s="143"/>
      <c r="EU20" s="143"/>
      <c r="EV20" s="143"/>
      <c r="EW20" s="143"/>
      <c r="EX20" s="143"/>
      <c r="EY20" s="143"/>
      <c r="EZ20" s="143"/>
      <c r="FA20" s="143"/>
      <c r="FB20" s="143"/>
      <c r="FC20" s="143"/>
      <c r="FD20" s="143"/>
      <c r="FE20" s="143"/>
      <c r="FF20" s="143"/>
      <c r="FG20" s="143"/>
      <c r="FH20" s="143"/>
      <c r="FI20" s="143"/>
      <c r="FJ20" s="143"/>
      <c r="FK20" s="143"/>
      <c r="FL20" s="143"/>
      <c r="FM20" s="143"/>
      <c r="FN20" s="143"/>
      <c r="FO20" s="143"/>
      <c r="FP20" s="143"/>
      <c r="FQ20" s="143"/>
      <c r="FR20" s="143"/>
      <c r="FS20" s="143"/>
      <c r="FT20" s="143"/>
      <c r="FU20" s="143"/>
      <c r="FV20" s="143"/>
      <c r="FW20" s="143"/>
      <c r="FX20" s="143"/>
      <c r="FY20" s="143"/>
      <c r="FZ20" s="143"/>
      <c r="GA20" s="143"/>
      <c r="GB20" s="143"/>
      <c r="GC20" s="143"/>
      <c r="GD20" s="143"/>
      <c r="GE20" s="143"/>
      <c r="GF20" s="143"/>
      <c r="GG20" s="143"/>
      <c r="GH20" s="143"/>
      <c r="GI20" s="143"/>
      <c r="GJ20" s="143"/>
      <c r="GK20" s="143"/>
      <c r="GL20" s="143"/>
      <c r="GM20" s="143"/>
      <c r="GN20" s="143"/>
      <c r="GO20" s="143"/>
      <c r="GP20" s="143"/>
      <c r="GQ20" s="143"/>
      <c r="GR20" s="143"/>
      <c r="GS20" s="143"/>
      <c r="GT20" s="143"/>
      <c r="GU20" s="143"/>
      <c r="GV20" s="143"/>
      <c r="GW20" s="143"/>
      <c r="GX20" s="143"/>
      <c r="GY20" s="143"/>
      <c r="GZ20" s="143"/>
      <c r="HA20" s="143"/>
      <c r="HB20" s="143"/>
      <c r="HC20" s="143"/>
      <c r="HD20" s="143"/>
      <c r="HE20" s="143"/>
      <c r="HF20" s="143"/>
      <c r="HG20" s="143"/>
      <c r="HH20" s="143"/>
      <c r="HI20" s="143"/>
      <c r="HJ20" s="143"/>
      <c r="HK20" s="143"/>
      <c r="HL20" s="143"/>
      <c r="HM20" s="143"/>
      <c r="HN20" s="143"/>
      <c r="HO20" s="143"/>
      <c r="HP20" s="143"/>
      <c r="HQ20" s="143"/>
      <c r="HR20" s="143"/>
      <c r="HS20" s="143"/>
      <c r="HT20" s="143"/>
      <c r="HU20" s="143"/>
      <c r="HV20" s="143"/>
      <c r="HW20" s="143"/>
      <c r="HX20" s="143"/>
      <c r="HY20" s="143"/>
      <c r="HZ20" s="143"/>
      <c r="IA20" s="143"/>
      <c r="IB20" s="143"/>
      <c r="IC20" s="143"/>
      <c r="ID20" s="143"/>
      <c r="IE20" s="143"/>
      <c r="IF20" s="143"/>
      <c r="IG20" s="143"/>
      <c r="IH20" s="143"/>
      <c r="II20" s="143"/>
      <c r="IJ20" s="143"/>
    </row>
    <row r="21" spans="1:244" s="143" customFormat="1" ht="6" customHeight="1" x14ac:dyDescent="0.2">
      <c r="A21" s="171"/>
      <c r="B21" s="202"/>
      <c r="C21" s="147"/>
      <c r="D21" s="70"/>
      <c r="E21" s="147"/>
      <c r="F21" s="149"/>
      <c r="G21" s="149"/>
      <c r="H21" s="71"/>
      <c r="I21" s="71"/>
      <c r="J21" s="71"/>
      <c r="K21" s="71"/>
      <c r="L21" s="146"/>
      <c r="M21" s="146"/>
      <c r="N21" s="146"/>
      <c r="O21" s="195"/>
      <c r="P21" s="142"/>
      <c r="Q21" s="142"/>
      <c r="R21" s="200"/>
      <c r="S21" s="142"/>
      <c r="T21" s="130"/>
      <c r="U21" s="172"/>
      <c r="V21" s="172"/>
      <c r="W21" s="72"/>
    </row>
    <row r="22" spans="1:244" ht="15" x14ac:dyDescent="0.2">
      <c r="A22" s="161" t="s">
        <v>88</v>
      </c>
      <c r="B22" s="167"/>
      <c r="C22" s="163"/>
      <c r="D22" s="164"/>
      <c r="E22" s="165"/>
      <c r="F22" s="164"/>
      <c r="G22" s="164"/>
      <c r="H22" s="164"/>
      <c r="I22" s="164"/>
      <c r="J22" s="184"/>
      <c r="K22" s="184"/>
      <c r="L22" s="188"/>
      <c r="M22" s="189"/>
      <c r="N22" s="178"/>
      <c r="O22" s="166"/>
      <c r="P22" s="154"/>
      <c r="Q22" s="154"/>
      <c r="R22" s="155"/>
      <c r="S22" s="183"/>
      <c r="T22" s="206"/>
      <c r="U22" s="205"/>
      <c r="V22" s="205"/>
      <c r="W22" s="207"/>
    </row>
    <row r="23" spans="1:244" s="143" customFormat="1" ht="6" customHeight="1" x14ac:dyDescent="0.2">
      <c r="A23" s="78"/>
      <c r="B23" s="160"/>
      <c r="C23" s="73"/>
      <c r="D23" s="73"/>
      <c r="E23" s="74"/>
      <c r="F23" s="75"/>
      <c r="G23" s="75"/>
      <c r="H23" s="76"/>
      <c r="I23" s="71"/>
      <c r="J23" s="71"/>
      <c r="K23" s="71"/>
      <c r="L23" s="77"/>
      <c r="M23" s="97"/>
      <c r="N23" s="77"/>
      <c r="O23" s="100"/>
      <c r="P23" s="38"/>
      <c r="Q23" s="38"/>
      <c r="R23" s="113"/>
      <c r="S23" s="151"/>
      <c r="T23" s="100"/>
      <c r="U23" s="38"/>
      <c r="V23" s="38"/>
      <c r="W23" s="113"/>
    </row>
    <row r="24" spans="1:244" s="137" customFormat="1" ht="15.2" customHeight="1" x14ac:dyDescent="0.2">
      <c r="A24" s="221" t="s">
        <v>79</v>
      </c>
      <c r="B24" s="160" t="s">
        <v>102</v>
      </c>
      <c r="C24" s="147" t="s">
        <v>24</v>
      </c>
      <c r="D24" s="157" t="s">
        <v>30</v>
      </c>
      <c r="E24" s="147" t="s">
        <v>0</v>
      </c>
      <c r="F24" s="149">
        <v>7200</v>
      </c>
      <c r="G24" s="149">
        <v>25000</v>
      </c>
      <c r="H24" s="147" t="s">
        <v>13</v>
      </c>
      <c r="I24" s="147" t="s">
        <v>14</v>
      </c>
      <c r="J24" s="201">
        <v>40664</v>
      </c>
      <c r="K24" s="201">
        <v>42401</v>
      </c>
      <c r="L24" s="203">
        <v>368000</v>
      </c>
      <c r="M24" s="153">
        <v>190000</v>
      </c>
      <c r="N24" s="152"/>
      <c r="O24" s="195">
        <v>0</v>
      </c>
      <c r="P24" s="142">
        <v>0</v>
      </c>
      <c r="Q24" s="141">
        <v>0</v>
      </c>
      <c r="R24" s="243">
        <v>7.729166666666667</v>
      </c>
      <c r="S24" s="142"/>
      <c r="T24" s="197">
        <v>0</v>
      </c>
      <c r="U24" s="236">
        <v>0</v>
      </c>
      <c r="V24" s="141">
        <v>0</v>
      </c>
      <c r="W24" s="198">
        <v>0</v>
      </c>
      <c r="X24" s="143"/>
      <c r="Y24" s="143"/>
      <c r="Z24" s="143"/>
      <c r="AA24" s="143"/>
      <c r="AB24" s="143"/>
      <c r="AC24" s="143"/>
      <c r="AD24" s="143"/>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43"/>
      <c r="BL24" s="143"/>
      <c r="BM24" s="143"/>
      <c r="BN24" s="143"/>
      <c r="BO24" s="143"/>
      <c r="BP24" s="143"/>
      <c r="BQ24" s="143"/>
      <c r="BR24" s="143"/>
      <c r="BS24" s="143"/>
      <c r="BT24" s="143"/>
      <c r="BU24" s="143"/>
      <c r="BV24" s="143"/>
      <c r="BW24" s="143"/>
      <c r="BX24" s="143"/>
      <c r="BY24" s="143"/>
      <c r="BZ24" s="143"/>
      <c r="CA24" s="143"/>
      <c r="CB24" s="143"/>
      <c r="CC24" s="143"/>
      <c r="CD24" s="143"/>
      <c r="CE24" s="143"/>
      <c r="CF24" s="143"/>
      <c r="CG24" s="143"/>
      <c r="CH24" s="143"/>
      <c r="CI24" s="143"/>
      <c r="CJ24" s="143"/>
      <c r="CK24" s="143"/>
      <c r="CL24" s="143"/>
      <c r="CM24" s="143"/>
      <c r="CN24" s="143"/>
      <c r="CO24" s="143"/>
      <c r="CP24" s="143"/>
      <c r="CQ24" s="143"/>
      <c r="CR24" s="143"/>
      <c r="CS24" s="143"/>
      <c r="CT24" s="143"/>
      <c r="CU24" s="143"/>
      <c r="CV24" s="143"/>
      <c r="CW24" s="143"/>
      <c r="CX24" s="143"/>
      <c r="CY24" s="143"/>
      <c r="CZ24" s="143"/>
      <c r="DA24" s="143"/>
      <c r="DB24" s="143"/>
      <c r="DC24" s="143"/>
      <c r="DD24" s="143"/>
      <c r="DE24" s="143"/>
      <c r="DF24" s="143"/>
      <c r="DG24" s="143"/>
      <c r="DH24" s="143"/>
      <c r="DI24" s="143"/>
      <c r="DJ24" s="143"/>
      <c r="DK24" s="143"/>
      <c r="DL24" s="143"/>
      <c r="DM24" s="143"/>
      <c r="DN24" s="143"/>
      <c r="DO24" s="143"/>
      <c r="DP24" s="143"/>
      <c r="DQ24" s="143"/>
      <c r="DR24" s="143"/>
      <c r="DS24" s="143"/>
      <c r="DT24" s="143"/>
      <c r="DU24" s="143"/>
      <c r="DV24" s="143"/>
      <c r="DW24" s="143"/>
      <c r="DX24" s="143"/>
      <c r="DY24" s="143"/>
      <c r="DZ24" s="143"/>
      <c r="EA24" s="143"/>
      <c r="EB24" s="143"/>
      <c r="EC24" s="143"/>
      <c r="ED24" s="143"/>
      <c r="EE24" s="143"/>
      <c r="EF24" s="143"/>
      <c r="EG24" s="143"/>
      <c r="EH24" s="143"/>
      <c r="EI24" s="143"/>
      <c r="EJ24" s="143"/>
      <c r="EK24" s="143"/>
      <c r="EL24" s="143"/>
      <c r="EM24" s="143"/>
      <c r="EN24" s="143"/>
      <c r="EO24" s="143"/>
      <c r="EP24" s="143"/>
      <c r="EQ24" s="143"/>
      <c r="ER24" s="143"/>
      <c r="ES24" s="143"/>
      <c r="ET24" s="143"/>
      <c r="EU24" s="143"/>
      <c r="EV24" s="143"/>
      <c r="EW24" s="143"/>
      <c r="EX24" s="143"/>
      <c r="EY24" s="143"/>
      <c r="EZ24" s="143"/>
      <c r="FA24" s="143"/>
      <c r="FB24" s="143"/>
      <c r="FC24" s="143"/>
      <c r="FD24" s="143"/>
      <c r="FE24" s="143"/>
      <c r="FF24" s="143"/>
      <c r="FG24" s="143"/>
      <c r="FH24" s="143"/>
      <c r="FI24" s="143"/>
      <c r="FJ24" s="143"/>
      <c r="FK24" s="143"/>
      <c r="FL24" s="143"/>
      <c r="FM24" s="143"/>
      <c r="FN24" s="143"/>
      <c r="FO24" s="143"/>
      <c r="FP24" s="143"/>
      <c r="FQ24" s="143"/>
      <c r="FR24" s="143"/>
      <c r="FS24" s="143"/>
      <c r="FT24" s="143"/>
      <c r="FU24" s="143"/>
      <c r="FV24" s="143"/>
      <c r="FW24" s="143"/>
      <c r="FX24" s="143"/>
      <c r="FY24" s="143"/>
      <c r="FZ24" s="143"/>
      <c r="GA24" s="143"/>
      <c r="GB24" s="143"/>
      <c r="GC24" s="143"/>
      <c r="GD24" s="143"/>
      <c r="GE24" s="143"/>
      <c r="GF24" s="143"/>
      <c r="GG24" s="143"/>
      <c r="GH24" s="143"/>
      <c r="GI24" s="143"/>
      <c r="GJ24" s="143"/>
      <c r="GK24" s="143"/>
      <c r="GL24" s="143"/>
      <c r="GM24" s="143"/>
      <c r="GN24" s="143"/>
      <c r="GO24" s="143"/>
      <c r="GP24" s="143"/>
      <c r="GQ24" s="143"/>
      <c r="GR24" s="143"/>
      <c r="GS24" s="143"/>
      <c r="GT24" s="143"/>
      <c r="GU24" s="143"/>
      <c r="GV24" s="143"/>
      <c r="GW24" s="143"/>
      <c r="GX24" s="143"/>
      <c r="GY24" s="143"/>
      <c r="GZ24" s="143"/>
      <c r="HA24" s="143"/>
      <c r="HB24" s="143"/>
      <c r="HC24" s="143"/>
      <c r="HD24" s="143"/>
      <c r="HE24" s="143"/>
      <c r="HF24" s="143"/>
      <c r="HG24" s="143"/>
      <c r="HH24" s="143"/>
      <c r="HI24" s="143"/>
      <c r="HJ24" s="143"/>
      <c r="HK24" s="143"/>
      <c r="HL24" s="143"/>
      <c r="HM24" s="143"/>
      <c r="HN24" s="143"/>
      <c r="HO24" s="143"/>
      <c r="HP24" s="143"/>
      <c r="HQ24" s="143"/>
      <c r="HR24" s="143"/>
      <c r="HS24" s="143"/>
      <c r="HT24" s="143"/>
      <c r="HU24" s="143"/>
      <c r="HV24" s="143"/>
      <c r="HW24" s="143"/>
      <c r="HX24" s="143"/>
      <c r="HY24" s="143"/>
      <c r="HZ24" s="143"/>
      <c r="IA24" s="143"/>
      <c r="IB24" s="143"/>
      <c r="IC24" s="143"/>
      <c r="ID24" s="143"/>
      <c r="IE24" s="143"/>
      <c r="IF24" s="143"/>
      <c r="IG24" s="143"/>
      <c r="IH24" s="143"/>
      <c r="II24" s="143"/>
      <c r="IJ24" s="143"/>
    </row>
    <row r="25" spans="1:244" s="137" customFormat="1" ht="14.25" customHeight="1" x14ac:dyDescent="0.2">
      <c r="A25" s="255" t="s">
        <v>5</v>
      </c>
      <c r="B25" s="122"/>
      <c r="C25" s="114" t="s">
        <v>24</v>
      </c>
      <c r="D25" s="115" t="s">
        <v>30</v>
      </c>
      <c r="E25" s="114" t="s">
        <v>10</v>
      </c>
      <c r="F25" s="116">
        <v>7000</v>
      </c>
      <c r="G25" s="116">
        <v>25000</v>
      </c>
      <c r="H25" s="125"/>
      <c r="I25" s="125"/>
      <c r="J25" s="117"/>
      <c r="K25" s="123" t="s">
        <v>91</v>
      </c>
      <c r="L25" s="238"/>
      <c r="M25" s="239"/>
      <c r="N25" s="91"/>
      <c r="O25" s="119">
        <v>0</v>
      </c>
      <c r="P25" s="120">
        <v>0</v>
      </c>
      <c r="Q25" s="120">
        <v>65.291666666666671</v>
      </c>
      <c r="R25" s="121">
        <v>0</v>
      </c>
      <c r="S25" s="142"/>
      <c r="T25" s="119">
        <v>0</v>
      </c>
      <c r="U25" s="120">
        <v>0</v>
      </c>
      <c r="V25" s="120">
        <v>0</v>
      </c>
      <c r="W25" s="121">
        <v>0</v>
      </c>
      <c r="X25" s="143"/>
      <c r="Y25" s="143"/>
      <c r="Z25" s="143"/>
      <c r="AA25" s="143"/>
      <c r="AB25" s="143"/>
      <c r="AC25" s="143"/>
      <c r="AD25" s="143"/>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43"/>
      <c r="BL25" s="143"/>
      <c r="BM25" s="143"/>
      <c r="BN25" s="143"/>
      <c r="BO25" s="143"/>
      <c r="BP25" s="143"/>
      <c r="BQ25" s="143"/>
      <c r="BR25" s="143"/>
      <c r="BS25" s="143"/>
      <c r="BT25" s="143"/>
      <c r="BU25" s="143"/>
      <c r="BV25" s="143"/>
      <c r="BW25" s="143"/>
      <c r="BX25" s="143"/>
      <c r="BY25" s="143"/>
      <c r="BZ25" s="143"/>
      <c r="CA25" s="143"/>
      <c r="CB25" s="143"/>
      <c r="CC25" s="143"/>
      <c r="CD25" s="143"/>
      <c r="CE25" s="143"/>
      <c r="CF25" s="143"/>
      <c r="CG25" s="143"/>
      <c r="CH25" s="143"/>
      <c r="CI25" s="143"/>
      <c r="CJ25" s="143"/>
      <c r="CK25" s="143"/>
      <c r="CL25" s="143"/>
      <c r="CM25" s="143"/>
      <c r="CN25" s="143"/>
      <c r="CO25" s="143"/>
      <c r="CP25" s="143"/>
      <c r="CQ25" s="143"/>
      <c r="CR25" s="143"/>
      <c r="CS25" s="143"/>
      <c r="CT25" s="143"/>
      <c r="CU25" s="143"/>
      <c r="CV25" s="143"/>
      <c r="CW25" s="143"/>
      <c r="CX25" s="143"/>
      <c r="CY25" s="143"/>
      <c r="CZ25" s="143"/>
      <c r="DA25" s="143"/>
      <c r="DB25" s="143"/>
      <c r="DC25" s="143"/>
      <c r="DD25" s="143"/>
      <c r="DE25" s="143"/>
      <c r="DF25" s="143"/>
      <c r="DG25" s="143"/>
      <c r="DH25" s="143"/>
      <c r="DI25" s="143"/>
      <c r="DJ25" s="143"/>
      <c r="DK25" s="143"/>
      <c r="DL25" s="143"/>
      <c r="DM25" s="143"/>
      <c r="DN25" s="143"/>
      <c r="DO25" s="143"/>
      <c r="DP25" s="143"/>
      <c r="DQ25" s="143"/>
      <c r="DR25" s="143"/>
      <c r="DS25" s="143"/>
      <c r="DT25" s="143"/>
      <c r="DU25" s="143"/>
      <c r="DV25" s="143"/>
      <c r="DW25" s="143"/>
      <c r="DX25" s="143"/>
      <c r="DY25" s="143"/>
      <c r="DZ25" s="143"/>
      <c r="EA25" s="143"/>
      <c r="EB25" s="143"/>
      <c r="EC25" s="143"/>
      <c r="ED25" s="143"/>
      <c r="EE25" s="143"/>
      <c r="EF25" s="143"/>
      <c r="EG25" s="143"/>
      <c r="EH25" s="143"/>
      <c r="EI25" s="143"/>
      <c r="EJ25" s="143"/>
      <c r="EK25" s="143"/>
      <c r="EL25" s="143"/>
      <c r="EM25" s="143"/>
      <c r="EN25" s="143"/>
      <c r="EO25" s="143"/>
      <c r="EP25" s="143"/>
      <c r="EQ25" s="143"/>
      <c r="ER25" s="143"/>
      <c r="ES25" s="143"/>
      <c r="ET25" s="143"/>
      <c r="EU25" s="143"/>
      <c r="EV25" s="143"/>
      <c r="EW25" s="143"/>
      <c r="EX25" s="143"/>
      <c r="EY25" s="143"/>
      <c r="EZ25" s="143"/>
      <c r="FA25" s="143"/>
      <c r="FB25" s="143"/>
      <c r="FC25" s="143"/>
      <c r="FD25" s="143"/>
      <c r="FE25" s="143"/>
      <c r="FF25" s="143"/>
      <c r="FG25" s="143"/>
      <c r="FH25" s="143"/>
      <c r="FI25" s="143"/>
      <c r="FJ25" s="143"/>
      <c r="FK25" s="143"/>
      <c r="FL25" s="143"/>
      <c r="FM25" s="143"/>
      <c r="FN25" s="143"/>
      <c r="FO25" s="143"/>
      <c r="FP25" s="143"/>
      <c r="FQ25" s="143"/>
      <c r="FR25" s="143"/>
      <c r="FS25" s="143"/>
      <c r="FT25" s="143"/>
      <c r="FU25" s="143"/>
      <c r="FV25" s="143"/>
      <c r="FW25" s="143"/>
      <c r="FX25" s="143"/>
      <c r="FY25" s="143"/>
      <c r="FZ25" s="143"/>
      <c r="GA25" s="143"/>
      <c r="GB25" s="143"/>
      <c r="GC25" s="143"/>
      <c r="GD25" s="143"/>
      <c r="GE25" s="143"/>
      <c r="GF25" s="143"/>
      <c r="GG25" s="143"/>
      <c r="GH25" s="143"/>
      <c r="GI25" s="143"/>
      <c r="GJ25" s="143"/>
      <c r="GK25" s="143"/>
      <c r="GL25" s="143"/>
      <c r="GM25" s="143"/>
      <c r="GN25" s="143"/>
      <c r="GO25" s="143"/>
      <c r="GP25" s="143"/>
      <c r="GQ25" s="143"/>
      <c r="GR25" s="143"/>
      <c r="GS25" s="143"/>
      <c r="GT25" s="143"/>
      <c r="GU25" s="143"/>
      <c r="GV25" s="143"/>
      <c r="GW25" s="143"/>
      <c r="GX25" s="143"/>
      <c r="GY25" s="143"/>
      <c r="GZ25" s="143"/>
      <c r="HA25" s="143"/>
      <c r="HB25" s="143"/>
      <c r="HC25" s="143"/>
      <c r="HD25" s="143"/>
      <c r="HE25" s="143"/>
      <c r="HF25" s="143"/>
      <c r="HG25" s="143"/>
      <c r="HH25" s="143"/>
      <c r="HI25" s="143"/>
      <c r="HJ25" s="143"/>
      <c r="HK25" s="143"/>
      <c r="HL25" s="143"/>
      <c r="HM25" s="143"/>
      <c r="HN25" s="143"/>
      <c r="HO25" s="143"/>
      <c r="HP25" s="143"/>
      <c r="HQ25" s="143"/>
      <c r="HR25" s="143"/>
      <c r="HS25" s="143"/>
      <c r="HT25" s="143"/>
      <c r="HU25" s="143"/>
      <c r="HV25" s="143"/>
      <c r="HW25" s="143"/>
      <c r="HX25" s="143"/>
      <c r="HY25" s="143"/>
      <c r="HZ25" s="143"/>
      <c r="IA25" s="143"/>
      <c r="IB25" s="143"/>
      <c r="IC25" s="143"/>
      <c r="ID25" s="143"/>
      <c r="IE25" s="143"/>
      <c r="IF25" s="143"/>
      <c r="IG25" s="143"/>
      <c r="IH25" s="143"/>
      <c r="II25" s="143"/>
      <c r="IJ25" s="143"/>
    </row>
    <row r="26" spans="1:244" s="143" customFormat="1" ht="14.25" customHeight="1" x14ac:dyDescent="0.2">
      <c r="A26" s="221" t="s">
        <v>80</v>
      </c>
      <c r="B26" s="160" t="s">
        <v>103</v>
      </c>
      <c r="C26" s="147" t="s">
        <v>25</v>
      </c>
      <c r="D26" s="157" t="s">
        <v>30</v>
      </c>
      <c r="E26" s="147" t="s">
        <v>10</v>
      </c>
      <c r="F26" s="149">
        <v>6500</v>
      </c>
      <c r="G26" s="149">
        <v>25000</v>
      </c>
      <c r="H26" s="147" t="s">
        <v>13</v>
      </c>
      <c r="I26" s="147" t="s">
        <v>14</v>
      </c>
      <c r="J26" s="201">
        <v>40118</v>
      </c>
      <c r="K26" s="204">
        <v>41974</v>
      </c>
      <c r="L26" s="203">
        <v>388000</v>
      </c>
      <c r="M26" s="153">
        <v>188000</v>
      </c>
      <c r="N26" s="152"/>
      <c r="O26" s="195">
        <v>0</v>
      </c>
      <c r="P26" s="142">
        <v>0</v>
      </c>
      <c r="Q26" s="142">
        <v>0</v>
      </c>
      <c r="R26" s="200">
        <v>0</v>
      </c>
      <c r="S26" s="142"/>
      <c r="T26" s="195">
        <v>0</v>
      </c>
      <c r="U26" s="142">
        <v>0</v>
      </c>
      <c r="V26" s="142">
        <v>0</v>
      </c>
      <c r="W26" s="200">
        <v>0</v>
      </c>
    </row>
    <row r="27" spans="1:244" s="112" customFormat="1" ht="14.25" customHeight="1" x14ac:dyDescent="0.2">
      <c r="A27" s="222" t="s">
        <v>42</v>
      </c>
      <c r="B27" s="122"/>
      <c r="C27" s="114" t="s">
        <v>25</v>
      </c>
      <c r="D27" s="114"/>
      <c r="E27" s="114" t="s">
        <v>37</v>
      </c>
      <c r="F27" s="116">
        <v>5750</v>
      </c>
      <c r="G27" s="116">
        <v>25000</v>
      </c>
      <c r="H27" s="114" t="s">
        <v>18</v>
      </c>
      <c r="I27" s="114" t="s">
        <v>29</v>
      </c>
      <c r="J27" s="117">
        <v>41502</v>
      </c>
      <c r="K27" s="123">
        <v>42030</v>
      </c>
      <c r="L27" s="210">
        <v>328000</v>
      </c>
      <c r="M27" s="118">
        <v>324000</v>
      </c>
      <c r="N27" s="159"/>
      <c r="O27" s="211">
        <v>0</v>
      </c>
      <c r="P27" s="54">
        <v>0</v>
      </c>
      <c r="Q27" s="54">
        <v>0</v>
      </c>
      <c r="R27" s="212">
        <v>5</v>
      </c>
      <c r="S27" s="151"/>
      <c r="T27" s="211">
        <v>0</v>
      </c>
      <c r="U27" s="54">
        <v>0</v>
      </c>
      <c r="V27" s="54">
        <v>0</v>
      </c>
      <c r="W27" s="212">
        <v>0</v>
      </c>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40"/>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40"/>
      <c r="DO27" s="140"/>
      <c r="DP27" s="140"/>
      <c r="DQ27" s="140"/>
      <c r="DR27" s="140"/>
      <c r="DS27" s="140"/>
      <c r="DT27" s="140"/>
      <c r="DU27" s="140"/>
      <c r="DV27" s="140"/>
      <c r="DW27" s="140"/>
      <c r="DX27" s="140"/>
      <c r="DY27" s="140"/>
      <c r="DZ27" s="140"/>
      <c r="EA27" s="140"/>
      <c r="EB27" s="140"/>
      <c r="EC27" s="140"/>
      <c r="ED27" s="140"/>
      <c r="EE27" s="140"/>
      <c r="EF27" s="140"/>
      <c r="EG27" s="140"/>
      <c r="EH27" s="140"/>
      <c r="EI27" s="140"/>
      <c r="EJ27" s="140"/>
      <c r="EK27" s="140"/>
      <c r="EL27" s="140"/>
      <c r="EM27" s="140"/>
      <c r="EN27" s="140"/>
      <c r="EO27" s="140"/>
      <c r="EP27" s="140"/>
      <c r="EQ27" s="140"/>
      <c r="ER27" s="140"/>
      <c r="ES27" s="140"/>
      <c r="ET27" s="140"/>
      <c r="EU27" s="140"/>
      <c r="EV27" s="140"/>
      <c r="EW27" s="140"/>
      <c r="EX27" s="140"/>
      <c r="EY27" s="140"/>
      <c r="EZ27" s="140"/>
      <c r="FA27" s="140"/>
      <c r="FB27" s="140"/>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40"/>
      <c r="GE27" s="140"/>
      <c r="GF27" s="140"/>
      <c r="GG27" s="140"/>
      <c r="GH27" s="140"/>
      <c r="GI27" s="140"/>
      <c r="GJ27" s="140"/>
      <c r="GK27" s="140"/>
      <c r="GL27" s="140"/>
      <c r="GM27" s="140"/>
      <c r="GN27" s="140"/>
      <c r="GO27" s="140"/>
      <c r="GP27" s="140"/>
      <c r="GQ27" s="140"/>
      <c r="GR27" s="140"/>
      <c r="GS27" s="140"/>
      <c r="GT27" s="140"/>
      <c r="GU27" s="140"/>
      <c r="GV27" s="140"/>
      <c r="GW27" s="140"/>
      <c r="GX27" s="140"/>
      <c r="GY27" s="140"/>
      <c r="GZ27" s="140"/>
      <c r="HA27" s="140"/>
      <c r="HB27" s="140"/>
      <c r="HC27" s="140"/>
      <c r="HD27" s="140"/>
      <c r="HE27" s="140"/>
      <c r="HF27" s="140"/>
      <c r="HG27" s="140"/>
      <c r="HH27" s="140"/>
      <c r="HI27" s="140"/>
      <c r="HJ27" s="140"/>
      <c r="HK27" s="140"/>
      <c r="HL27" s="140"/>
      <c r="HM27" s="140"/>
      <c r="HN27" s="140"/>
      <c r="HO27" s="140"/>
      <c r="HP27" s="140"/>
      <c r="HQ27" s="140"/>
      <c r="HR27" s="140"/>
      <c r="HS27" s="140"/>
      <c r="HT27" s="140"/>
      <c r="HU27" s="140"/>
      <c r="HV27" s="140"/>
      <c r="HW27" s="140"/>
      <c r="HX27" s="140"/>
      <c r="HY27" s="140"/>
      <c r="HZ27" s="140"/>
      <c r="IA27" s="140"/>
      <c r="IB27" s="140"/>
      <c r="IC27" s="140"/>
      <c r="ID27" s="140"/>
      <c r="IE27" s="140"/>
      <c r="IF27" s="140"/>
      <c r="IG27" s="140"/>
      <c r="IH27" s="140"/>
      <c r="II27" s="140"/>
      <c r="IJ27" s="140"/>
    </row>
    <row r="28" spans="1:244" s="112" customFormat="1" ht="14.25" customHeight="1" x14ac:dyDescent="0.2">
      <c r="A28" s="222"/>
      <c r="B28" s="122"/>
      <c r="C28" s="114"/>
      <c r="D28" s="114"/>
      <c r="E28" s="114"/>
      <c r="F28" s="116"/>
      <c r="G28" s="116"/>
      <c r="H28" s="114" t="s">
        <v>18</v>
      </c>
      <c r="I28" s="114" t="s">
        <v>96</v>
      </c>
      <c r="J28" s="123">
        <f>K27</f>
        <v>42030</v>
      </c>
      <c r="K28" s="123">
        <v>42079</v>
      </c>
      <c r="L28" s="210">
        <v>338000</v>
      </c>
      <c r="M28" s="118">
        <v>328000</v>
      </c>
      <c r="N28" s="159"/>
      <c r="O28" s="211"/>
      <c r="P28" s="54"/>
      <c r="Q28" s="54"/>
      <c r="R28" s="212"/>
      <c r="S28" s="151"/>
      <c r="T28" s="211"/>
      <c r="U28" s="54"/>
      <c r="V28" s="54"/>
      <c r="W28" s="212"/>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40"/>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40"/>
      <c r="DO28" s="140"/>
      <c r="DP28" s="140"/>
      <c r="DQ28" s="140"/>
      <c r="DR28" s="140"/>
      <c r="DS28" s="140"/>
      <c r="DT28" s="140"/>
      <c r="DU28" s="140"/>
      <c r="DV28" s="140"/>
      <c r="DW28" s="140"/>
      <c r="DX28" s="140"/>
      <c r="DY28" s="140"/>
      <c r="DZ28" s="140"/>
      <c r="EA28" s="140"/>
      <c r="EB28" s="140"/>
      <c r="EC28" s="140"/>
      <c r="ED28" s="140"/>
      <c r="EE28" s="140"/>
      <c r="EF28" s="140"/>
      <c r="EG28" s="140"/>
      <c r="EH28" s="140"/>
      <c r="EI28" s="140"/>
      <c r="EJ28" s="140"/>
      <c r="EK28" s="140"/>
      <c r="EL28" s="140"/>
      <c r="EM28" s="140"/>
      <c r="EN28" s="140"/>
      <c r="EO28" s="140"/>
      <c r="EP28" s="140"/>
      <c r="EQ28" s="140"/>
      <c r="ER28" s="140"/>
      <c r="ES28" s="140"/>
      <c r="ET28" s="140"/>
      <c r="EU28" s="140"/>
      <c r="EV28" s="140"/>
      <c r="EW28" s="140"/>
      <c r="EX28" s="140"/>
      <c r="EY28" s="140"/>
      <c r="EZ28" s="140"/>
      <c r="FA28" s="140"/>
      <c r="FB28" s="140"/>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40"/>
      <c r="GE28" s="140"/>
      <c r="GF28" s="140"/>
      <c r="GG28" s="140"/>
      <c r="GH28" s="140"/>
      <c r="GI28" s="140"/>
      <c r="GJ28" s="140"/>
      <c r="GK28" s="140"/>
      <c r="GL28" s="140"/>
      <c r="GM28" s="140"/>
      <c r="GN28" s="140"/>
      <c r="GO28" s="140"/>
      <c r="GP28" s="140"/>
      <c r="GQ28" s="140"/>
      <c r="GR28" s="140"/>
      <c r="GS28" s="140"/>
      <c r="GT28" s="140"/>
      <c r="GU28" s="140"/>
      <c r="GV28" s="140"/>
      <c r="GW28" s="140"/>
      <c r="GX28" s="140"/>
      <c r="GY28" s="140"/>
      <c r="GZ28" s="140"/>
      <c r="HA28" s="140"/>
      <c r="HB28" s="140"/>
      <c r="HC28" s="140"/>
      <c r="HD28" s="140"/>
      <c r="HE28" s="140"/>
      <c r="HF28" s="140"/>
      <c r="HG28" s="140"/>
      <c r="HH28" s="140"/>
      <c r="HI28" s="140"/>
      <c r="HJ28" s="140"/>
      <c r="HK28" s="140"/>
      <c r="HL28" s="140"/>
      <c r="HM28" s="140"/>
      <c r="HN28" s="140"/>
      <c r="HO28" s="140"/>
      <c r="HP28" s="140"/>
      <c r="HQ28" s="140"/>
      <c r="HR28" s="140"/>
      <c r="HS28" s="140"/>
      <c r="HT28" s="140"/>
      <c r="HU28" s="140"/>
      <c r="HV28" s="140"/>
      <c r="HW28" s="140"/>
      <c r="HX28" s="140"/>
      <c r="HY28" s="140"/>
      <c r="HZ28" s="140"/>
      <c r="IA28" s="140"/>
      <c r="IB28" s="140"/>
      <c r="IC28" s="140"/>
      <c r="ID28" s="140"/>
      <c r="IE28" s="140"/>
      <c r="IF28" s="140"/>
      <c r="IG28" s="140"/>
      <c r="IH28" s="140"/>
      <c r="II28" s="140"/>
      <c r="IJ28" s="140"/>
    </row>
    <row r="29" spans="1:244" s="137" customFormat="1" ht="14.25" customHeight="1" x14ac:dyDescent="0.2">
      <c r="A29" s="221" t="s">
        <v>21</v>
      </c>
      <c r="B29" s="160">
        <v>-7</v>
      </c>
      <c r="C29" s="147" t="s">
        <v>25</v>
      </c>
      <c r="D29" s="147"/>
      <c r="E29" s="147" t="s">
        <v>22</v>
      </c>
      <c r="F29" s="149">
        <v>5400</v>
      </c>
      <c r="G29" s="149">
        <v>30000</v>
      </c>
      <c r="H29" s="147" t="s">
        <v>100</v>
      </c>
      <c r="I29" s="147" t="s">
        <v>60</v>
      </c>
      <c r="J29" s="201">
        <v>41909</v>
      </c>
      <c r="K29" s="204">
        <v>42000</v>
      </c>
      <c r="L29" s="202">
        <v>440000</v>
      </c>
      <c r="M29" s="153">
        <v>380000</v>
      </c>
      <c r="N29" s="159"/>
      <c r="O29" s="194">
        <v>0</v>
      </c>
      <c r="P29" s="151">
        <v>0</v>
      </c>
      <c r="Q29" s="151">
        <v>15.041666666666666</v>
      </c>
      <c r="R29" s="244">
        <v>4</v>
      </c>
      <c r="S29" s="151"/>
      <c r="T29" s="194">
        <v>0</v>
      </c>
      <c r="U29" s="151">
        <v>0</v>
      </c>
      <c r="V29" s="151">
        <v>0</v>
      </c>
      <c r="W29" s="158">
        <v>0</v>
      </c>
      <c r="X29" s="143"/>
      <c r="Y29" s="143"/>
      <c r="Z29" s="143"/>
      <c r="AA29" s="143"/>
      <c r="AB29" s="143"/>
      <c r="AC29" s="143"/>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43"/>
      <c r="BL29" s="143"/>
      <c r="BM29" s="143"/>
      <c r="BN29" s="143"/>
      <c r="BO29" s="143"/>
      <c r="BP29" s="143"/>
      <c r="BQ29" s="143"/>
      <c r="BR29" s="143"/>
      <c r="BS29" s="143"/>
      <c r="BT29" s="143"/>
      <c r="BU29" s="143"/>
      <c r="BV29" s="143"/>
      <c r="BW29" s="143"/>
      <c r="BX29" s="143"/>
      <c r="BY29" s="143"/>
      <c r="BZ29" s="143"/>
      <c r="CA29" s="143"/>
      <c r="CB29" s="143"/>
      <c r="CC29" s="143"/>
      <c r="CD29" s="143"/>
      <c r="CE29" s="143"/>
      <c r="CF29" s="143"/>
      <c r="CG29" s="143"/>
      <c r="CH29" s="143"/>
      <c r="CI29" s="143"/>
      <c r="CJ29" s="143"/>
      <c r="CK29" s="143"/>
      <c r="CL29" s="143"/>
      <c r="CM29" s="143"/>
      <c r="CN29" s="143"/>
      <c r="CO29" s="143"/>
      <c r="CP29" s="143"/>
      <c r="CQ29" s="143"/>
      <c r="CR29" s="143"/>
      <c r="CS29" s="143"/>
      <c r="CT29" s="143"/>
      <c r="CU29" s="143"/>
      <c r="CV29" s="143"/>
      <c r="CW29" s="143"/>
      <c r="CX29" s="143"/>
      <c r="CY29" s="143"/>
      <c r="CZ29" s="143"/>
      <c r="DA29" s="143"/>
      <c r="DB29" s="143"/>
      <c r="DC29" s="143"/>
      <c r="DD29" s="143"/>
      <c r="DE29" s="143"/>
      <c r="DF29" s="143"/>
      <c r="DG29" s="143"/>
      <c r="DH29" s="143"/>
      <c r="DI29" s="143"/>
      <c r="DJ29" s="143"/>
      <c r="DK29" s="143"/>
      <c r="DL29" s="143"/>
      <c r="DM29" s="143"/>
      <c r="DN29" s="143"/>
      <c r="DO29" s="143"/>
      <c r="DP29" s="143"/>
      <c r="DQ29" s="143"/>
      <c r="DR29" s="143"/>
      <c r="DS29" s="143"/>
      <c r="DT29" s="143"/>
      <c r="DU29" s="143"/>
      <c r="DV29" s="143"/>
      <c r="DW29" s="143"/>
      <c r="DX29" s="143"/>
      <c r="DY29" s="143"/>
      <c r="DZ29" s="143"/>
      <c r="EA29" s="143"/>
      <c r="EB29" s="143"/>
      <c r="EC29" s="143"/>
      <c r="ED29" s="143"/>
      <c r="EE29" s="143"/>
      <c r="EF29" s="143"/>
      <c r="EG29" s="143"/>
      <c r="EH29" s="143"/>
      <c r="EI29" s="143"/>
      <c r="EJ29" s="143"/>
      <c r="EK29" s="143"/>
      <c r="EL29" s="143"/>
      <c r="EM29" s="143"/>
      <c r="EN29" s="143"/>
      <c r="EO29" s="143"/>
      <c r="EP29" s="143"/>
      <c r="EQ29" s="143"/>
      <c r="ER29" s="143"/>
      <c r="ES29" s="143"/>
      <c r="ET29" s="143"/>
      <c r="EU29" s="143"/>
      <c r="EV29" s="143"/>
      <c r="EW29" s="143"/>
      <c r="EX29" s="143"/>
      <c r="EY29" s="143"/>
      <c r="EZ29" s="143"/>
      <c r="FA29" s="143"/>
      <c r="FB29" s="143"/>
      <c r="FC29" s="143"/>
      <c r="FD29" s="143"/>
      <c r="FE29" s="143"/>
      <c r="FF29" s="143"/>
      <c r="FG29" s="143"/>
      <c r="FH29" s="143"/>
      <c r="FI29" s="143"/>
      <c r="FJ29" s="143"/>
      <c r="FK29" s="143"/>
      <c r="FL29" s="143"/>
      <c r="FM29" s="143"/>
      <c r="FN29" s="143"/>
      <c r="FO29" s="143"/>
      <c r="FP29" s="143"/>
      <c r="FQ29" s="143"/>
      <c r="FR29" s="143"/>
      <c r="FS29" s="143"/>
      <c r="FT29" s="143"/>
      <c r="FU29" s="143"/>
      <c r="FV29" s="143"/>
      <c r="FW29" s="143"/>
      <c r="FX29" s="143"/>
      <c r="FY29" s="143"/>
      <c r="FZ29" s="143"/>
      <c r="GA29" s="143"/>
      <c r="GB29" s="143"/>
      <c r="GC29" s="143"/>
      <c r="GD29" s="143"/>
      <c r="GE29" s="143"/>
      <c r="GF29" s="143"/>
      <c r="GG29" s="143"/>
      <c r="GH29" s="143"/>
      <c r="GI29" s="143"/>
      <c r="GJ29" s="143"/>
      <c r="GK29" s="143"/>
      <c r="GL29" s="143"/>
      <c r="GM29" s="143"/>
      <c r="GN29" s="143"/>
      <c r="GO29" s="143"/>
      <c r="GP29" s="143"/>
      <c r="GQ29" s="143"/>
      <c r="GR29" s="143"/>
      <c r="GS29" s="143"/>
      <c r="GT29" s="143"/>
      <c r="GU29" s="143"/>
      <c r="GV29" s="143"/>
      <c r="GW29" s="143"/>
      <c r="GX29" s="143"/>
      <c r="GY29" s="143"/>
      <c r="GZ29" s="143"/>
      <c r="HA29" s="143"/>
      <c r="HB29" s="143"/>
      <c r="HC29" s="143"/>
      <c r="HD29" s="143"/>
      <c r="HE29" s="143"/>
      <c r="HF29" s="143"/>
      <c r="HG29" s="143"/>
      <c r="HH29" s="143"/>
      <c r="HI29" s="143"/>
      <c r="HJ29" s="143"/>
      <c r="HK29" s="143"/>
      <c r="HL29" s="143"/>
      <c r="HM29" s="143"/>
      <c r="HN29" s="143"/>
      <c r="HO29" s="143"/>
      <c r="HP29" s="143"/>
      <c r="HQ29" s="143"/>
      <c r="HR29" s="143"/>
      <c r="HS29" s="143"/>
      <c r="HT29" s="143"/>
      <c r="HU29" s="143"/>
      <c r="HV29" s="143"/>
      <c r="HW29" s="143"/>
      <c r="HX29" s="143"/>
      <c r="HY29" s="143"/>
      <c r="HZ29" s="143"/>
      <c r="IA29" s="143"/>
      <c r="IB29" s="143"/>
      <c r="IC29" s="143"/>
      <c r="ID29" s="143"/>
      <c r="IE29" s="143"/>
      <c r="IF29" s="143"/>
      <c r="IG29" s="143"/>
      <c r="IH29" s="143"/>
      <c r="II29" s="143"/>
      <c r="IJ29" s="143"/>
    </row>
    <row r="30" spans="1:244" s="137" customFormat="1" ht="14.25" customHeight="1" x14ac:dyDescent="0.2">
      <c r="A30" s="69"/>
      <c r="B30" s="160">
        <v>-7</v>
      </c>
      <c r="C30" s="147"/>
      <c r="D30" s="147"/>
      <c r="E30" s="147"/>
      <c r="F30" s="149"/>
      <c r="G30" s="149"/>
      <c r="H30" s="147" t="s">
        <v>17</v>
      </c>
      <c r="I30" s="147" t="s">
        <v>99</v>
      </c>
      <c r="J30" s="204">
        <f>K29</f>
        <v>42000</v>
      </c>
      <c r="K30" s="204">
        <v>42144</v>
      </c>
      <c r="L30" s="202">
        <v>420000</v>
      </c>
      <c r="M30" s="153">
        <f>L29</f>
        <v>440000</v>
      </c>
      <c r="N30" s="159"/>
      <c r="O30" s="194"/>
      <c r="P30" s="151"/>
      <c r="Q30" s="151"/>
      <c r="R30" s="158"/>
      <c r="S30" s="151"/>
      <c r="T30" s="194"/>
      <c r="U30" s="151"/>
      <c r="V30" s="151"/>
      <c r="W30" s="158"/>
      <c r="X30" s="143"/>
      <c r="Y30" s="143"/>
      <c r="Z30" s="143"/>
      <c r="AA30" s="143"/>
      <c r="AB30" s="143"/>
      <c r="AC30" s="143"/>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43"/>
      <c r="BL30" s="143"/>
      <c r="BM30" s="143"/>
      <c r="BN30" s="143"/>
      <c r="BO30" s="143"/>
      <c r="BP30" s="143"/>
      <c r="BQ30" s="143"/>
      <c r="BR30" s="143"/>
      <c r="BS30" s="143"/>
      <c r="BT30" s="143"/>
      <c r="BU30" s="143"/>
      <c r="BV30" s="143"/>
      <c r="BW30" s="143"/>
      <c r="BX30" s="143"/>
      <c r="BY30" s="143"/>
      <c r="BZ30" s="143"/>
      <c r="CA30" s="143"/>
      <c r="CB30" s="143"/>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c r="DF30" s="143"/>
      <c r="DG30" s="143"/>
      <c r="DH30" s="143"/>
      <c r="DI30" s="143"/>
      <c r="DJ30" s="143"/>
      <c r="DK30" s="143"/>
      <c r="DL30" s="143"/>
      <c r="DM30" s="143"/>
      <c r="DN30" s="143"/>
      <c r="DO30" s="143"/>
      <c r="DP30" s="143"/>
      <c r="DQ30" s="143"/>
      <c r="DR30" s="143"/>
      <c r="DS30" s="143"/>
      <c r="DT30" s="143"/>
      <c r="DU30" s="143"/>
      <c r="DV30" s="143"/>
      <c r="DW30" s="143"/>
      <c r="DX30" s="143"/>
      <c r="DY30" s="143"/>
      <c r="DZ30" s="143"/>
      <c r="EA30" s="143"/>
      <c r="EB30" s="143"/>
      <c r="EC30" s="143"/>
      <c r="ED30" s="143"/>
      <c r="EE30" s="143"/>
      <c r="EF30" s="143"/>
      <c r="EG30" s="143"/>
      <c r="EH30" s="143"/>
      <c r="EI30" s="143"/>
      <c r="EJ30" s="143"/>
      <c r="EK30" s="143"/>
      <c r="EL30" s="143"/>
      <c r="EM30" s="143"/>
      <c r="EN30" s="143"/>
      <c r="EO30" s="143"/>
      <c r="EP30" s="143"/>
      <c r="EQ30" s="143"/>
      <c r="ER30" s="143"/>
      <c r="ES30" s="143"/>
      <c r="ET30" s="143"/>
      <c r="EU30" s="143"/>
      <c r="EV30" s="143"/>
      <c r="EW30" s="143"/>
      <c r="EX30" s="143"/>
      <c r="EY30" s="143"/>
      <c r="EZ30" s="143"/>
      <c r="FA30" s="143"/>
      <c r="FB30" s="143"/>
      <c r="FC30" s="143"/>
      <c r="FD30" s="143"/>
      <c r="FE30" s="143"/>
      <c r="FF30" s="143"/>
      <c r="FG30" s="143"/>
      <c r="FH30" s="143"/>
      <c r="FI30" s="143"/>
      <c r="FJ30" s="143"/>
      <c r="FK30" s="143"/>
      <c r="FL30" s="143"/>
      <c r="FM30" s="143"/>
      <c r="FN30" s="143"/>
      <c r="FO30" s="143"/>
      <c r="FP30" s="143"/>
      <c r="FQ30" s="143"/>
      <c r="FR30" s="143"/>
      <c r="FS30" s="143"/>
      <c r="FT30" s="143"/>
      <c r="FU30" s="143"/>
      <c r="FV30" s="143"/>
      <c r="FW30" s="143"/>
      <c r="FX30" s="143"/>
      <c r="FY30" s="143"/>
      <c r="FZ30" s="143"/>
      <c r="GA30" s="143"/>
      <c r="GB30" s="143"/>
      <c r="GC30" s="143"/>
      <c r="GD30" s="143"/>
      <c r="GE30" s="143"/>
      <c r="GF30" s="143"/>
      <c r="GG30" s="143"/>
      <c r="GH30" s="143"/>
      <c r="GI30" s="143"/>
      <c r="GJ30" s="143"/>
      <c r="GK30" s="143"/>
      <c r="GL30" s="143"/>
      <c r="GM30" s="143"/>
      <c r="GN30" s="143"/>
      <c r="GO30" s="143"/>
      <c r="GP30" s="143"/>
      <c r="GQ30" s="143"/>
      <c r="GR30" s="143"/>
      <c r="GS30" s="143"/>
      <c r="GT30" s="143"/>
      <c r="GU30" s="143"/>
      <c r="GV30" s="143"/>
      <c r="GW30" s="143"/>
      <c r="GX30" s="143"/>
      <c r="GY30" s="143"/>
      <c r="GZ30" s="143"/>
      <c r="HA30" s="143"/>
      <c r="HB30" s="143"/>
      <c r="HC30" s="143"/>
      <c r="HD30" s="143"/>
      <c r="HE30" s="143"/>
      <c r="HF30" s="143"/>
      <c r="HG30" s="143"/>
      <c r="HH30" s="143"/>
      <c r="HI30" s="143"/>
      <c r="HJ30" s="143"/>
      <c r="HK30" s="143"/>
      <c r="HL30" s="143"/>
      <c r="HM30" s="143"/>
      <c r="HN30" s="143"/>
      <c r="HO30" s="143"/>
      <c r="HP30" s="143"/>
      <c r="HQ30" s="143"/>
      <c r="HR30" s="143"/>
      <c r="HS30" s="143"/>
      <c r="HT30" s="143"/>
      <c r="HU30" s="143"/>
      <c r="HV30" s="143"/>
      <c r="HW30" s="143"/>
      <c r="HX30" s="143"/>
      <c r="HY30" s="143"/>
      <c r="HZ30" s="143"/>
      <c r="IA30" s="143"/>
      <c r="IB30" s="143"/>
      <c r="IC30" s="143"/>
      <c r="ID30" s="143"/>
      <c r="IE30" s="143"/>
      <c r="IF30" s="143"/>
      <c r="IG30" s="143"/>
      <c r="IH30" s="143"/>
      <c r="II30" s="143"/>
      <c r="IJ30" s="143"/>
    </row>
    <row r="31" spans="1:244" s="137" customFormat="1" ht="14.25" customHeight="1" x14ac:dyDescent="0.2">
      <c r="A31" s="298"/>
      <c r="B31" s="299"/>
      <c r="C31" s="266"/>
      <c r="D31" s="266"/>
      <c r="E31" s="266"/>
      <c r="F31" s="268"/>
      <c r="G31" s="268"/>
      <c r="H31" s="266"/>
      <c r="I31" s="266"/>
      <c r="J31" s="270">
        <f>K30</f>
        <v>42144</v>
      </c>
      <c r="K31" s="270">
        <v>42418</v>
      </c>
      <c r="L31" s="300">
        <v>370000</v>
      </c>
      <c r="M31" s="301">
        <f>L30</f>
        <v>420000</v>
      </c>
      <c r="N31" s="159"/>
      <c r="O31" s="100"/>
      <c r="P31" s="38"/>
      <c r="Q31" s="38"/>
      <c r="R31" s="113"/>
      <c r="S31" s="151"/>
      <c r="T31" s="100"/>
      <c r="U31" s="38"/>
      <c r="V31" s="38"/>
      <c r="W31" s="113"/>
      <c r="X31" s="143"/>
      <c r="Y31" s="143"/>
      <c r="Z31" s="143"/>
      <c r="AA31" s="143"/>
      <c r="AB31" s="143"/>
      <c r="AC31" s="143"/>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43"/>
      <c r="BL31" s="143"/>
      <c r="BM31" s="143"/>
      <c r="BN31" s="143"/>
      <c r="BO31" s="143"/>
      <c r="BP31" s="143"/>
      <c r="BQ31" s="143"/>
      <c r="BR31" s="143"/>
      <c r="BS31" s="143"/>
      <c r="BT31" s="143"/>
      <c r="BU31" s="143"/>
      <c r="BV31" s="143"/>
      <c r="BW31" s="143"/>
      <c r="BX31" s="143"/>
      <c r="BY31" s="143"/>
      <c r="BZ31" s="143"/>
      <c r="CA31" s="143"/>
      <c r="CB31" s="143"/>
      <c r="CC31" s="143"/>
      <c r="CD31" s="143"/>
      <c r="CE31" s="143"/>
      <c r="CF31" s="143"/>
      <c r="CG31" s="143"/>
      <c r="CH31" s="143"/>
      <c r="CI31" s="143"/>
      <c r="CJ31" s="143"/>
      <c r="CK31" s="143"/>
      <c r="CL31" s="143"/>
      <c r="CM31" s="143"/>
      <c r="CN31" s="143"/>
      <c r="CO31" s="143"/>
      <c r="CP31" s="143"/>
      <c r="CQ31" s="143"/>
      <c r="CR31" s="143"/>
      <c r="CS31" s="143"/>
      <c r="CT31" s="143"/>
      <c r="CU31" s="143"/>
      <c r="CV31" s="143"/>
      <c r="CW31" s="143"/>
      <c r="CX31" s="143"/>
      <c r="CY31" s="143"/>
      <c r="CZ31" s="143"/>
      <c r="DA31" s="143"/>
      <c r="DB31" s="143"/>
      <c r="DC31" s="143"/>
      <c r="DD31" s="143"/>
      <c r="DE31" s="143"/>
      <c r="DF31" s="143"/>
      <c r="DG31" s="143"/>
      <c r="DH31" s="143"/>
      <c r="DI31" s="143"/>
      <c r="DJ31" s="143"/>
      <c r="DK31" s="143"/>
      <c r="DL31" s="143"/>
      <c r="DM31" s="143"/>
      <c r="DN31" s="143"/>
      <c r="DO31" s="143"/>
      <c r="DP31" s="143"/>
      <c r="DQ31" s="143"/>
      <c r="DR31" s="143"/>
      <c r="DS31" s="143"/>
      <c r="DT31" s="143"/>
      <c r="DU31" s="143"/>
      <c r="DV31" s="143"/>
      <c r="DW31" s="143"/>
      <c r="DX31" s="143"/>
      <c r="DY31" s="143"/>
      <c r="DZ31" s="143"/>
      <c r="EA31" s="143"/>
      <c r="EB31" s="143"/>
      <c r="EC31" s="143"/>
      <c r="ED31" s="143"/>
      <c r="EE31" s="143"/>
      <c r="EF31" s="143"/>
      <c r="EG31" s="143"/>
      <c r="EH31" s="143"/>
      <c r="EI31" s="143"/>
      <c r="EJ31" s="143"/>
      <c r="EK31" s="143"/>
      <c r="EL31" s="143"/>
      <c r="EM31" s="143"/>
      <c r="EN31" s="143"/>
      <c r="EO31" s="143"/>
      <c r="EP31" s="143"/>
      <c r="EQ31" s="143"/>
      <c r="ER31" s="143"/>
      <c r="ES31" s="143"/>
      <c r="ET31" s="143"/>
      <c r="EU31" s="143"/>
      <c r="EV31" s="143"/>
      <c r="EW31" s="143"/>
      <c r="EX31" s="143"/>
      <c r="EY31" s="143"/>
      <c r="EZ31" s="143"/>
      <c r="FA31" s="143"/>
      <c r="FB31" s="143"/>
      <c r="FC31" s="143"/>
      <c r="FD31" s="143"/>
      <c r="FE31" s="143"/>
      <c r="FF31" s="143"/>
      <c r="FG31" s="143"/>
      <c r="FH31" s="143"/>
      <c r="FI31" s="143"/>
      <c r="FJ31" s="143"/>
      <c r="FK31" s="143"/>
      <c r="FL31" s="143"/>
      <c r="FM31" s="143"/>
      <c r="FN31" s="143"/>
      <c r="FO31" s="143"/>
      <c r="FP31" s="143"/>
      <c r="FQ31" s="143"/>
      <c r="FR31" s="143"/>
      <c r="FS31" s="143"/>
      <c r="FT31" s="143"/>
      <c r="FU31" s="143"/>
      <c r="FV31" s="143"/>
      <c r="FW31" s="143"/>
      <c r="FX31" s="143"/>
      <c r="FY31" s="143"/>
      <c r="FZ31" s="143"/>
      <c r="GA31" s="143"/>
      <c r="GB31" s="143"/>
      <c r="GC31" s="143"/>
      <c r="GD31" s="143"/>
      <c r="GE31" s="143"/>
      <c r="GF31" s="143"/>
      <c r="GG31" s="143"/>
      <c r="GH31" s="143"/>
      <c r="GI31" s="143"/>
      <c r="GJ31" s="143"/>
      <c r="GK31" s="143"/>
      <c r="GL31" s="143"/>
      <c r="GM31" s="143"/>
      <c r="GN31" s="143"/>
      <c r="GO31" s="143"/>
      <c r="GP31" s="143"/>
      <c r="GQ31" s="143"/>
      <c r="GR31" s="143"/>
      <c r="GS31" s="143"/>
      <c r="GT31" s="143"/>
      <c r="GU31" s="143"/>
      <c r="GV31" s="143"/>
      <c r="GW31" s="143"/>
      <c r="GX31" s="143"/>
      <c r="GY31" s="143"/>
      <c r="GZ31" s="143"/>
      <c r="HA31" s="143"/>
      <c r="HB31" s="143"/>
      <c r="HC31" s="143"/>
      <c r="HD31" s="143"/>
      <c r="HE31" s="143"/>
      <c r="HF31" s="143"/>
      <c r="HG31" s="143"/>
      <c r="HH31" s="143"/>
      <c r="HI31" s="143"/>
      <c r="HJ31" s="143"/>
      <c r="HK31" s="143"/>
      <c r="HL31" s="143"/>
      <c r="HM31" s="143"/>
      <c r="HN31" s="143"/>
      <c r="HO31" s="143"/>
      <c r="HP31" s="143"/>
      <c r="HQ31" s="143"/>
      <c r="HR31" s="143"/>
      <c r="HS31" s="143"/>
      <c r="HT31" s="143"/>
      <c r="HU31" s="143"/>
      <c r="HV31" s="143"/>
      <c r="HW31" s="143"/>
      <c r="HX31" s="143"/>
      <c r="HY31" s="143"/>
      <c r="HZ31" s="143"/>
      <c r="IA31" s="143"/>
      <c r="IB31" s="143"/>
      <c r="IC31" s="143"/>
      <c r="ID31" s="143"/>
      <c r="IE31" s="143"/>
      <c r="IF31" s="143"/>
      <c r="IG31" s="143"/>
      <c r="IH31" s="143"/>
      <c r="II31" s="143"/>
      <c r="IJ31" s="143"/>
    </row>
    <row r="32" spans="1:244" s="143" customFormat="1" ht="6" customHeight="1" x14ac:dyDescent="0.2">
      <c r="A32" s="67"/>
      <c r="B32" s="208"/>
      <c r="C32" s="82"/>
      <c r="D32" s="73"/>
      <c r="E32" s="74"/>
      <c r="F32" s="75"/>
      <c r="G32" s="75"/>
      <c r="H32" s="76"/>
      <c r="I32" s="71"/>
      <c r="J32" s="71"/>
      <c r="K32" s="71"/>
      <c r="L32" s="77"/>
      <c r="M32" s="77"/>
      <c r="N32" s="77"/>
      <c r="O32" s="141"/>
      <c r="P32" s="141"/>
      <c r="Q32" s="141"/>
      <c r="R32" s="141"/>
      <c r="S32" s="141"/>
      <c r="T32" s="141"/>
      <c r="U32" s="141"/>
      <c r="V32" s="141"/>
      <c r="W32" s="141"/>
    </row>
    <row r="33" spans="1:244" s="143" customFormat="1" ht="15" x14ac:dyDescent="0.2">
      <c r="A33" s="166" t="s">
        <v>89</v>
      </c>
      <c r="B33" s="214"/>
      <c r="C33" s="163"/>
      <c r="D33" s="168"/>
      <c r="E33" s="169"/>
      <c r="F33" s="168"/>
      <c r="G33" s="168"/>
      <c r="H33" s="170"/>
      <c r="I33" s="168"/>
      <c r="J33" s="186"/>
      <c r="K33" s="186"/>
      <c r="L33" s="192"/>
      <c r="M33" s="193"/>
      <c r="N33" s="180"/>
      <c r="O33" s="181"/>
      <c r="P33" s="181"/>
      <c r="Q33" s="181"/>
      <c r="R33" s="181"/>
      <c r="S33" s="181"/>
      <c r="T33" s="181"/>
      <c r="U33" s="181"/>
      <c r="V33" s="181"/>
      <c r="W33" s="181"/>
    </row>
    <row r="34" spans="1:244" s="143" customFormat="1" ht="3.75" customHeight="1" x14ac:dyDescent="0.2">
      <c r="B34" s="153"/>
      <c r="C34" s="147"/>
      <c r="D34" s="157"/>
      <c r="E34" s="199"/>
      <c r="F34" s="148"/>
      <c r="G34" s="148"/>
      <c r="H34" s="199"/>
      <c r="I34" s="199"/>
      <c r="J34" s="199"/>
      <c r="K34" s="199"/>
      <c r="L34" s="152"/>
      <c r="M34" s="187"/>
      <c r="N34" s="176"/>
      <c r="O34" s="142"/>
      <c r="P34" s="142"/>
      <c r="Q34" s="142"/>
      <c r="R34" s="142"/>
      <c r="S34" s="142"/>
      <c r="T34" s="142"/>
      <c r="U34" s="142"/>
      <c r="V34" s="142"/>
      <c r="W34" s="142"/>
    </row>
    <row r="35" spans="1:244" s="143" customFormat="1" ht="15" x14ac:dyDescent="0.2">
      <c r="A35" s="161" t="s">
        <v>72</v>
      </c>
      <c r="B35" s="162"/>
      <c r="C35" s="163"/>
      <c r="D35" s="164"/>
      <c r="E35" s="165"/>
      <c r="F35" s="164"/>
      <c r="G35" s="164"/>
      <c r="H35" s="164"/>
      <c r="I35" s="164"/>
      <c r="J35" s="184"/>
      <c r="K35" s="184"/>
      <c r="L35" s="188"/>
      <c r="M35" s="193"/>
      <c r="N35" s="176"/>
      <c r="O35" s="142"/>
      <c r="P35" s="142"/>
      <c r="Q35" s="142"/>
      <c r="R35" s="142"/>
      <c r="S35" s="142"/>
      <c r="T35" s="142"/>
      <c r="U35" s="142"/>
      <c r="V35" s="142"/>
      <c r="W35" s="142"/>
    </row>
    <row r="36" spans="1:244" s="143" customFormat="1" ht="6" customHeight="1" x14ac:dyDescent="0.2">
      <c r="A36" s="79"/>
      <c r="B36" s="156"/>
      <c r="C36" s="138"/>
      <c r="D36" s="157"/>
      <c r="E36" s="138"/>
      <c r="F36" s="149"/>
      <c r="G36" s="139"/>
      <c r="H36" s="147"/>
      <c r="I36" s="147"/>
      <c r="J36" s="201"/>
      <c r="K36" s="201"/>
      <c r="L36" s="152"/>
      <c r="M36" s="153"/>
      <c r="N36" s="176"/>
      <c r="O36" s="142"/>
      <c r="P36" s="142"/>
      <c r="Q36" s="142"/>
      <c r="R36" s="142"/>
      <c r="S36" s="142"/>
      <c r="T36" s="142"/>
      <c r="U36" s="142"/>
      <c r="V36" s="142"/>
      <c r="W36" s="142"/>
    </row>
    <row r="37" spans="1:244" s="137" customFormat="1" x14ac:dyDescent="0.2">
      <c r="A37" s="253" t="s">
        <v>75</v>
      </c>
      <c r="B37" s="256" t="s">
        <v>108</v>
      </c>
      <c r="C37" s="218" t="s">
        <v>24</v>
      </c>
      <c r="D37" s="237" t="s">
        <v>30</v>
      </c>
      <c r="E37" s="218">
        <v>2010</v>
      </c>
      <c r="F37" s="219">
        <v>12000</v>
      </c>
      <c r="G37" s="219">
        <v>35000</v>
      </c>
      <c r="H37" s="240" t="s">
        <v>19</v>
      </c>
      <c r="I37" s="220" t="s">
        <v>28</v>
      </c>
      <c r="J37" s="220">
        <v>42202</v>
      </c>
      <c r="K37" s="220">
        <v>42293</v>
      </c>
      <c r="L37" s="241">
        <v>395000</v>
      </c>
      <c r="M37" s="242">
        <v>395000</v>
      </c>
      <c r="N37" s="176"/>
      <c r="O37" s="142"/>
      <c r="P37" s="142"/>
      <c r="Q37" s="142"/>
      <c r="R37" s="142"/>
      <c r="S37" s="142"/>
      <c r="T37" s="142"/>
      <c r="U37" s="142"/>
      <c r="V37" s="142"/>
      <c r="W37" s="142"/>
      <c r="X37" s="143"/>
      <c r="Y37" s="143"/>
      <c r="Z37" s="143"/>
      <c r="AA37" s="143"/>
      <c r="AB37" s="143"/>
      <c r="AC37" s="143"/>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143"/>
      <c r="BU37" s="143"/>
      <c r="BV37" s="143"/>
      <c r="BW37" s="143"/>
      <c r="BX37" s="143"/>
      <c r="BY37" s="143"/>
      <c r="BZ37" s="143"/>
      <c r="CA37" s="143"/>
      <c r="CB37" s="143"/>
      <c r="CC37" s="143"/>
      <c r="CD37" s="143"/>
      <c r="CE37" s="143"/>
      <c r="CF37" s="143"/>
      <c r="CG37" s="143"/>
      <c r="CH37" s="143"/>
      <c r="CI37" s="143"/>
      <c r="CJ37" s="143"/>
      <c r="CK37" s="143"/>
      <c r="CL37" s="143"/>
      <c r="CM37" s="143"/>
      <c r="CN37" s="143"/>
      <c r="CO37" s="143"/>
      <c r="CP37" s="143"/>
      <c r="CQ37" s="143"/>
      <c r="CR37" s="143"/>
      <c r="CS37" s="143"/>
      <c r="CT37" s="143"/>
      <c r="CU37" s="143"/>
      <c r="CV37" s="143"/>
      <c r="CW37" s="143"/>
      <c r="CX37" s="143"/>
      <c r="CY37" s="143"/>
      <c r="CZ37" s="143"/>
      <c r="DA37" s="143"/>
      <c r="DB37" s="143"/>
      <c r="DC37" s="143"/>
      <c r="DD37" s="143"/>
      <c r="DE37" s="143"/>
      <c r="DF37" s="143"/>
      <c r="DG37" s="143"/>
      <c r="DH37" s="143"/>
      <c r="DI37" s="143"/>
      <c r="DJ37" s="143"/>
      <c r="DK37" s="143"/>
      <c r="DL37" s="143"/>
      <c r="DM37" s="143"/>
      <c r="DN37" s="143"/>
      <c r="DO37" s="143"/>
      <c r="DP37" s="143"/>
      <c r="DQ37" s="143"/>
      <c r="DR37" s="143"/>
      <c r="DS37" s="143"/>
      <c r="DT37" s="143"/>
      <c r="DU37" s="143"/>
      <c r="DV37" s="143"/>
      <c r="DW37" s="143"/>
      <c r="DX37" s="143"/>
      <c r="DY37" s="143"/>
      <c r="DZ37" s="143"/>
      <c r="EA37" s="143"/>
      <c r="EB37" s="143"/>
      <c r="EC37" s="143"/>
      <c r="ED37" s="143"/>
      <c r="EE37" s="143"/>
      <c r="EF37" s="143"/>
      <c r="EG37" s="143"/>
      <c r="EH37" s="143"/>
      <c r="EI37" s="143"/>
      <c r="EJ37" s="143"/>
      <c r="EK37" s="143"/>
      <c r="EL37" s="143"/>
      <c r="EM37" s="143"/>
      <c r="EN37" s="143"/>
      <c r="EO37" s="143"/>
      <c r="EP37" s="143"/>
      <c r="EQ37" s="143"/>
      <c r="ER37" s="143"/>
      <c r="ES37" s="143"/>
      <c r="ET37" s="143"/>
      <c r="EU37" s="143"/>
      <c r="EV37" s="143"/>
      <c r="EW37" s="143"/>
      <c r="EX37" s="143"/>
      <c r="EY37" s="143"/>
      <c r="EZ37" s="143"/>
      <c r="FA37" s="143"/>
      <c r="FB37" s="143"/>
      <c r="FC37" s="143"/>
      <c r="FD37" s="143"/>
      <c r="FE37" s="143"/>
      <c r="FF37" s="143"/>
      <c r="FG37" s="143"/>
      <c r="FH37" s="143"/>
      <c r="FI37" s="143"/>
      <c r="FJ37" s="143"/>
      <c r="FK37" s="143"/>
      <c r="FL37" s="143"/>
      <c r="FM37" s="143"/>
      <c r="FN37" s="143"/>
      <c r="FO37" s="143"/>
      <c r="FP37" s="143"/>
      <c r="FQ37" s="143"/>
      <c r="FR37" s="143"/>
      <c r="FS37" s="143"/>
      <c r="FT37" s="143"/>
      <c r="FU37" s="143"/>
      <c r="FV37" s="143"/>
      <c r="FW37" s="143"/>
      <c r="FX37" s="143"/>
      <c r="FY37" s="143"/>
      <c r="FZ37" s="143"/>
      <c r="GA37" s="143"/>
      <c r="GB37" s="143"/>
      <c r="GC37" s="143"/>
      <c r="GD37" s="143"/>
      <c r="GE37" s="143"/>
      <c r="GF37" s="143"/>
      <c r="GG37" s="143"/>
      <c r="GH37" s="143"/>
      <c r="GI37" s="143"/>
      <c r="GJ37" s="143"/>
      <c r="GK37" s="143"/>
      <c r="GL37" s="143"/>
      <c r="GM37" s="143"/>
      <c r="GN37" s="143"/>
      <c r="GO37" s="143"/>
      <c r="GP37" s="143"/>
      <c r="GQ37" s="143"/>
      <c r="GR37" s="143"/>
      <c r="GS37" s="143"/>
      <c r="GT37" s="143"/>
      <c r="GU37" s="143"/>
      <c r="GV37" s="143"/>
      <c r="GW37" s="143"/>
      <c r="GX37" s="143"/>
      <c r="GY37" s="143"/>
      <c r="GZ37" s="143"/>
      <c r="HA37" s="143"/>
      <c r="HB37" s="143"/>
      <c r="HC37" s="143"/>
      <c r="HD37" s="143"/>
      <c r="HE37" s="143"/>
      <c r="HF37" s="143"/>
      <c r="HG37" s="143"/>
      <c r="HH37" s="143"/>
      <c r="HI37" s="143"/>
      <c r="HJ37" s="143"/>
      <c r="HK37" s="143"/>
      <c r="HL37" s="143"/>
      <c r="HM37" s="143"/>
      <c r="HN37" s="143"/>
      <c r="HO37" s="143"/>
      <c r="HP37" s="143"/>
      <c r="HQ37" s="143"/>
      <c r="HR37" s="143"/>
      <c r="HS37" s="143"/>
      <c r="HT37" s="143"/>
      <c r="HU37" s="143"/>
      <c r="HV37" s="143"/>
      <c r="HW37" s="143"/>
      <c r="HX37" s="143"/>
      <c r="HY37" s="143"/>
      <c r="HZ37" s="143"/>
      <c r="IA37" s="143"/>
      <c r="IB37" s="143"/>
      <c r="IC37" s="143"/>
      <c r="ID37" s="143"/>
      <c r="IE37" s="143"/>
      <c r="IF37" s="143"/>
      <c r="IG37" s="143"/>
      <c r="IH37" s="143"/>
      <c r="II37" s="143"/>
      <c r="IJ37" s="143"/>
    </row>
    <row r="38" spans="1:244" s="143" customFormat="1" ht="6" customHeight="1" x14ac:dyDescent="0.2">
      <c r="B38" s="152"/>
      <c r="C38" s="147"/>
      <c r="D38" s="157"/>
      <c r="E38" s="199"/>
      <c r="F38" s="148"/>
      <c r="G38" s="148"/>
      <c r="H38" s="199"/>
      <c r="I38" s="199"/>
      <c r="J38" s="199"/>
      <c r="K38" s="199"/>
      <c r="L38" s="152"/>
      <c r="M38" s="176"/>
      <c r="N38" s="176"/>
      <c r="O38" s="142"/>
      <c r="P38" s="142"/>
      <c r="Q38" s="142"/>
      <c r="R38" s="142"/>
      <c r="S38" s="142"/>
      <c r="T38" s="142"/>
      <c r="U38" s="142"/>
      <c r="V38" s="142"/>
      <c r="W38" s="142"/>
    </row>
    <row r="39" spans="1:244" s="90" customFormat="1" ht="12.75" customHeight="1" x14ac:dyDescent="0.2">
      <c r="A39" s="230" t="s">
        <v>88</v>
      </c>
      <c r="B39" s="231"/>
      <c r="C39" s="88"/>
      <c r="D39" s="87"/>
      <c r="E39" s="232"/>
      <c r="F39" s="87"/>
      <c r="G39" s="87"/>
      <c r="H39" s="87"/>
      <c r="I39" s="87"/>
      <c r="J39" s="233"/>
      <c r="K39" s="233"/>
      <c r="L39" s="234"/>
      <c r="M39" s="235"/>
      <c r="N39" s="178"/>
      <c r="O39" s="182"/>
      <c r="P39" s="182"/>
      <c r="Q39" s="182"/>
      <c r="R39" s="182"/>
      <c r="S39" s="182"/>
      <c r="T39" s="182"/>
      <c r="U39" s="182"/>
      <c r="V39" s="182"/>
      <c r="W39" s="182"/>
      <c r="X39" s="143"/>
      <c r="Y39" s="143"/>
      <c r="Z39" s="143"/>
      <c r="AA39" s="143"/>
      <c r="AB39" s="143"/>
      <c r="AC39" s="143"/>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43"/>
      <c r="BL39" s="143"/>
      <c r="BM39" s="143"/>
      <c r="BN39" s="143"/>
      <c r="BO39" s="143"/>
      <c r="BP39" s="143"/>
      <c r="BQ39" s="143"/>
      <c r="BR39" s="143"/>
      <c r="BS39" s="143"/>
      <c r="BT39" s="143"/>
      <c r="BU39" s="143"/>
      <c r="BV39" s="143"/>
      <c r="BW39" s="143"/>
      <c r="BX39" s="143"/>
      <c r="BY39" s="143"/>
      <c r="BZ39" s="143"/>
      <c r="CA39" s="143"/>
      <c r="CB39" s="143"/>
      <c r="CC39" s="143"/>
      <c r="CD39" s="143"/>
      <c r="CE39" s="143"/>
      <c r="CF39" s="143"/>
      <c r="CG39" s="143"/>
      <c r="CH39" s="143"/>
      <c r="CI39" s="143"/>
      <c r="CJ39" s="143"/>
      <c r="CK39" s="143"/>
      <c r="CL39" s="143"/>
      <c r="CM39" s="143"/>
      <c r="CN39" s="143"/>
      <c r="CO39" s="143"/>
      <c r="CP39" s="143"/>
      <c r="CQ39" s="143"/>
      <c r="CR39" s="143"/>
      <c r="CS39" s="143"/>
      <c r="CT39" s="143"/>
      <c r="CU39" s="143"/>
      <c r="CV39" s="143"/>
      <c r="CW39" s="143"/>
      <c r="CX39" s="143"/>
      <c r="CY39" s="143"/>
      <c r="CZ39" s="143"/>
      <c r="DA39" s="143"/>
      <c r="DB39" s="143"/>
      <c r="DC39" s="143"/>
      <c r="DD39" s="143"/>
      <c r="DE39" s="143"/>
      <c r="DF39" s="143"/>
      <c r="DG39" s="143"/>
      <c r="DH39" s="143"/>
      <c r="DI39" s="143"/>
      <c r="DJ39" s="143"/>
      <c r="DK39" s="143"/>
      <c r="DL39" s="143"/>
      <c r="DM39" s="143"/>
      <c r="DN39" s="143"/>
      <c r="DO39" s="143"/>
      <c r="DP39" s="143"/>
      <c r="DQ39" s="143"/>
      <c r="DR39" s="143"/>
      <c r="DS39" s="143"/>
      <c r="DT39" s="143"/>
      <c r="DU39" s="143"/>
      <c r="DV39" s="143"/>
      <c r="DW39" s="143"/>
      <c r="DX39" s="143"/>
      <c r="DY39" s="143"/>
      <c r="DZ39" s="143"/>
      <c r="EA39" s="143"/>
      <c r="EB39" s="143"/>
      <c r="EC39" s="143"/>
      <c r="ED39" s="143"/>
      <c r="EE39" s="143"/>
      <c r="EF39" s="143"/>
      <c r="EG39" s="143"/>
      <c r="EH39" s="143"/>
      <c r="EI39" s="143"/>
      <c r="EJ39" s="143"/>
      <c r="EK39" s="143"/>
      <c r="EL39" s="143"/>
      <c r="EM39" s="143"/>
      <c r="EN39" s="143"/>
      <c r="EO39" s="143"/>
      <c r="EP39" s="143"/>
      <c r="EQ39" s="143"/>
      <c r="ER39" s="143"/>
      <c r="ES39" s="143"/>
      <c r="ET39" s="143"/>
      <c r="EU39" s="143"/>
      <c r="EV39" s="143"/>
      <c r="EW39" s="143"/>
      <c r="EX39" s="143"/>
      <c r="EY39" s="143"/>
      <c r="EZ39" s="143"/>
      <c r="FA39" s="143"/>
      <c r="FB39" s="143"/>
      <c r="FC39" s="143"/>
      <c r="FD39" s="143"/>
      <c r="FE39" s="143"/>
      <c r="FF39" s="143"/>
      <c r="FG39" s="143"/>
      <c r="FH39" s="143"/>
      <c r="FI39" s="143"/>
      <c r="FJ39" s="143"/>
      <c r="FK39" s="143"/>
      <c r="FL39" s="143"/>
      <c r="FM39" s="143"/>
      <c r="FN39" s="143"/>
      <c r="FO39" s="143"/>
      <c r="FP39" s="143"/>
      <c r="FQ39" s="143"/>
      <c r="FR39" s="143"/>
      <c r="FS39" s="143"/>
      <c r="FT39" s="143"/>
      <c r="FU39" s="143"/>
      <c r="FV39" s="143"/>
      <c r="FW39" s="143"/>
      <c r="FX39" s="143"/>
      <c r="FY39" s="143"/>
      <c r="FZ39" s="143"/>
      <c r="GA39" s="143"/>
      <c r="GB39" s="143"/>
      <c r="GC39" s="143"/>
      <c r="GD39" s="143"/>
      <c r="GE39" s="143"/>
      <c r="GF39" s="143"/>
      <c r="GG39" s="143"/>
      <c r="GH39" s="143"/>
      <c r="GI39" s="143"/>
      <c r="GJ39" s="143"/>
      <c r="GK39" s="143"/>
      <c r="GL39" s="143"/>
      <c r="GM39" s="143"/>
      <c r="GN39" s="143"/>
      <c r="GO39" s="143"/>
      <c r="GP39" s="143"/>
      <c r="GQ39" s="143"/>
      <c r="GR39" s="143"/>
      <c r="GS39" s="143"/>
      <c r="GT39" s="143"/>
      <c r="GU39" s="143"/>
      <c r="GV39" s="143"/>
      <c r="GW39" s="143"/>
      <c r="GX39" s="143"/>
      <c r="GY39" s="143"/>
      <c r="GZ39" s="143"/>
      <c r="HA39" s="143"/>
      <c r="HB39" s="143"/>
      <c r="HC39" s="143"/>
      <c r="HD39" s="143"/>
      <c r="HE39" s="143"/>
      <c r="HF39" s="143"/>
      <c r="HG39" s="143"/>
      <c r="HH39" s="143"/>
      <c r="HI39" s="143"/>
      <c r="HJ39" s="143"/>
      <c r="HK39" s="143"/>
      <c r="HL39" s="143"/>
      <c r="HM39" s="143"/>
      <c r="HN39" s="143"/>
      <c r="HO39" s="143"/>
      <c r="HP39" s="143"/>
      <c r="HQ39" s="143"/>
      <c r="HR39" s="143"/>
      <c r="HS39" s="143"/>
      <c r="HT39" s="143"/>
      <c r="HU39" s="143"/>
      <c r="HV39" s="143"/>
      <c r="HW39" s="143"/>
      <c r="HX39" s="143"/>
      <c r="HY39" s="143"/>
      <c r="HZ39" s="143"/>
      <c r="IA39" s="143"/>
      <c r="IB39" s="143"/>
      <c r="IC39" s="143"/>
      <c r="ID39" s="143"/>
      <c r="IE39" s="143"/>
      <c r="IF39" s="143"/>
      <c r="IG39" s="143"/>
      <c r="IH39" s="143"/>
      <c r="II39" s="143"/>
      <c r="IJ39" s="143"/>
    </row>
    <row r="40" spans="1:244" s="143" customFormat="1" ht="4.5" customHeight="1" x14ac:dyDescent="0.2">
      <c r="A40" s="103"/>
      <c r="B40" s="104"/>
      <c r="C40" s="105"/>
      <c r="D40" s="106"/>
      <c r="E40" s="107"/>
      <c r="F40" s="106"/>
      <c r="G40" s="106"/>
      <c r="H40" s="106"/>
      <c r="I40" s="106"/>
      <c r="J40" s="108"/>
      <c r="K40" s="108"/>
      <c r="L40" s="109"/>
      <c r="M40" s="110"/>
      <c r="N40" s="178"/>
      <c r="O40" s="182"/>
      <c r="P40" s="182"/>
      <c r="Q40" s="182"/>
      <c r="R40" s="182"/>
      <c r="S40" s="182"/>
      <c r="T40" s="182"/>
      <c r="U40" s="182"/>
      <c r="V40" s="182"/>
      <c r="W40" s="182"/>
    </row>
    <row r="41" spans="1:244" s="137" customFormat="1" ht="12.75" customHeight="1" x14ac:dyDescent="0.2">
      <c r="A41" s="302" t="s">
        <v>21</v>
      </c>
      <c r="B41" s="303"/>
      <c r="C41" s="266" t="s">
        <v>25</v>
      </c>
      <c r="D41" s="266"/>
      <c r="E41" s="266" t="s">
        <v>22</v>
      </c>
      <c r="F41" s="268">
        <v>5400</v>
      </c>
      <c r="G41" s="268">
        <v>30000</v>
      </c>
      <c r="H41" s="304" t="s">
        <v>17</v>
      </c>
      <c r="I41" s="270" t="s">
        <v>99</v>
      </c>
      <c r="J41" s="270">
        <v>42419</v>
      </c>
      <c r="K41" s="270">
        <v>42690</v>
      </c>
      <c r="L41" s="305">
        <v>370000</v>
      </c>
      <c r="M41" s="306">
        <v>370000</v>
      </c>
      <c r="N41" s="91"/>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143"/>
      <c r="BU41" s="143"/>
      <c r="BV41" s="143"/>
      <c r="BW41" s="143"/>
      <c r="BX41" s="143"/>
      <c r="BY41" s="143"/>
      <c r="BZ41" s="143"/>
      <c r="CA41" s="143"/>
      <c r="CB41" s="143"/>
      <c r="CC41" s="143"/>
      <c r="CD41" s="143"/>
      <c r="CE41" s="143"/>
      <c r="CF41" s="143"/>
      <c r="CG41" s="143"/>
      <c r="CH41" s="143"/>
      <c r="CI41" s="143"/>
      <c r="CJ41" s="143"/>
      <c r="CK41" s="143"/>
      <c r="CL41" s="143"/>
      <c r="CM41" s="143"/>
      <c r="CN41" s="143"/>
      <c r="CO41" s="143"/>
      <c r="CP41" s="143"/>
      <c r="CQ41" s="143"/>
      <c r="CR41" s="143"/>
      <c r="CS41" s="143"/>
      <c r="CT41" s="143"/>
      <c r="CU41" s="143"/>
      <c r="CV41" s="143"/>
      <c r="CW41" s="143"/>
      <c r="CX41" s="143"/>
      <c r="CY41" s="143"/>
      <c r="CZ41" s="143"/>
      <c r="DA41" s="143"/>
      <c r="DB41" s="143"/>
      <c r="DC41" s="143"/>
      <c r="DD41" s="143"/>
      <c r="DE41" s="143"/>
      <c r="DF41" s="143"/>
      <c r="DG41" s="143"/>
      <c r="DH41" s="143"/>
      <c r="DI41" s="143"/>
      <c r="DJ41" s="143"/>
      <c r="DK41" s="143"/>
      <c r="DL41" s="143"/>
      <c r="DM41" s="143"/>
      <c r="DN41" s="143"/>
      <c r="DO41" s="143"/>
      <c r="DP41" s="143"/>
      <c r="DQ41" s="143"/>
      <c r="DR41" s="143"/>
      <c r="DS41" s="143"/>
      <c r="DT41" s="143"/>
      <c r="DU41" s="143"/>
      <c r="DV41" s="143"/>
      <c r="DW41" s="143"/>
      <c r="DX41" s="143"/>
      <c r="DY41" s="143"/>
      <c r="DZ41" s="143"/>
      <c r="EA41" s="143"/>
      <c r="EB41" s="143"/>
      <c r="EC41" s="143"/>
      <c r="ED41" s="143"/>
      <c r="EE41" s="143"/>
      <c r="EF41" s="143"/>
      <c r="EG41" s="143"/>
      <c r="EH41" s="143"/>
      <c r="EI41" s="143"/>
      <c r="EJ41" s="143"/>
      <c r="EK41" s="143"/>
      <c r="EL41" s="143"/>
      <c r="EM41" s="143"/>
      <c r="EN41" s="143"/>
      <c r="EO41" s="143"/>
      <c r="EP41" s="143"/>
      <c r="EQ41" s="143"/>
      <c r="ER41" s="143"/>
      <c r="ES41" s="143"/>
      <c r="ET41" s="143"/>
      <c r="EU41" s="143"/>
      <c r="EV41" s="143"/>
      <c r="EW41" s="143"/>
      <c r="EX41" s="143"/>
      <c r="EY41" s="143"/>
      <c r="EZ41" s="143"/>
      <c r="FA41" s="143"/>
      <c r="FB41" s="143"/>
      <c r="FC41" s="143"/>
      <c r="FD41" s="143"/>
      <c r="FE41" s="143"/>
      <c r="FF41" s="143"/>
      <c r="FG41" s="143"/>
      <c r="FH41" s="143"/>
      <c r="FI41" s="143"/>
      <c r="FJ41" s="143"/>
      <c r="FK41" s="143"/>
      <c r="FL41" s="143"/>
      <c r="FM41" s="143"/>
      <c r="FN41" s="143"/>
      <c r="FO41" s="143"/>
      <c r="FP41" s="143"/>
      <c r="FQ41" s="143"/>
      <c r="FR41" s="143"/>
      <c r="FS41" s="143"/>
      <c r="FT41" s="143"/>
      <c r="FU41" s="143"/>
      <c r="FV41" s="143"/>
      <c r="FW41" s="143"/>
      <c r="FX41" s="143"/>
      <c r="FY41" s="143"/>
      <c r="FZ41" s="143"/>
      <c r="GA41" s="143"/>
      <c r="GB41" s="143"/>
      <c r="GC41" s="143"/>
      <c r="GD41" s="143"/>
      <c r="GE41" s="143"/>
      <c r="GF41" s="143"/>
      <c r="GG41" s="143"/>
      <c r="GH41" s="143"/>
      <c r="GI41" s="143"/>
      <c r="GJ41" s="143"/>
      <c r="GK41" s="143"/>
      <c r="GL41" s="143"/>
      <c r="GM41" s="143"/>
      <c r="GN41" s="143"/>
      <c r="GO41" s="143"/>
      <c r="GP41" s="143"/>
      <c r="GQ41" s="143"/>
      <c r="GR41" s="143"/>
      <c r="GS41" s="143"/>
      <c r="GT41" s="143"/>
      <c r="GU41" s="143"/>
      <c r="GV41" s="143"/>
      <c r="GW41" s="143"/>
      <c r="GX41" s="143"/>
      <c r="GY41" s="143"/>
      <c r="GZ41" s="143"/>
      <c r="HA41" s="143"/>
      <c r="HB41" s="143"/>
      <c r="HC41" s="143"/>
      <c r="HD41" s="143"/>
      <c r="HE41" s="143"/>
      <c r="HF41" s="143"/>
      <c r="HG41" s="143"/>
      <c r="HH41" s="143"/>
      <c r="HI41" s="143"/>
      <c r="HJ41" s="143"/>
      <c r="HK41" s="143"/>
      <c r="HL41" s="143"/>
      <c r="HM41" s="143"/>
      <c r="HN41" s="143"/>
      <c r="HO41" s="143"/>
      <c r="HP41" s="143"/>
      <c r="HQ41" s="143"/>
      <c r="HR41" s="143"/>
      <c r="HS41" s="143"/>
      <c r="HT41" s="143"/>
      <c r="HU41" s="143"/>
      <c r="HV41" s="143"/>
      <c r="HW41" s="143"/>
      <c r="HX41" s="143"/>
      <c r="HY41" s="143"/>
      <c r="HZ41" s="143"/>
      <c r="IA41" s="143"/>
      <c r="IB41" s="143"/>
      <c r="IC41" s="143"/>
      <c r="ID41" s="143"/>
      <c r="IE41" s="143"/>
      <c r="IF41" s="143"/>
      <c r="IG41" s="143"/>
      <c r="IH41" s="143"/>
      <c r="II41" s="143"/>
      <c r="IJ41" s="143"/>
    </row>
    <row r="42" spans="1:244" x14ac:dyDescent="0.2">
      <c r="K42" s="150"/>
    </row>
    <row r="43" spans="1:244" x14ac:dyDescent="0.2">
      <c r="K43" s="150"/>
    </row>
    <row r="44" spans="1:244" x14ac:dyDescent="0.2">
      <c r="K44" s="150"/>
    </row>
    <row r="45" spans="1:244" x14ac:dyDescent="0.2">
      <c r="I45" s="37"/>
      <c r="J45" s="37"/>
      <c r="K45" s="150"/>
    </row>
    <row r="46" spans="1:244" x14ac:dyDescent="0.2">
      <c r="K46" s="150"/>
    </row>
    <row r="47" spans="1:244" x14ac:dyDescent="0.2">
      <c r="K47" s="150"/>
    </row>
    <row r="48" spans="1:244" x14ac:dyDescent="0.2">
      <c r="K48" s="150"/>
    </row>
  </sheetData>
  <autoFilter ref="A8:J8"/>
  <mergeCells count="6">
    <mergeCell ref="A3:M3"/>
    <mergeCell ref="A4:M4"/>
    <mergeCell ref="O5:R5"/>
    <mergeCell ref="T5:W5"/>
    <mergeCell ref="O7:R7"/>
    <mergeCell ref="T7:W7"/>
  </mergeCells>
  <printOptions horizontalCentered="1"/>
  <pageMargins left="0.25" right="0.25" top="0.75" bottom="0.75" header="0.3" footer="0.3"/>
  <pageSetup paperSize="3" scale="37" fitToHeight="0" orientation="landscape" r:id="rId1"/>
  <headerFooter alignWithMargins="0"/>
  <ignoredErrors>
    <ignoredError sqref="B15 B20 B37"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5"/>
  <sheetViews>
    <sheetView showGridLines="0" topLeftCell="B1" zoomScaleNormal="100" zoomScaleSheetLayoutView="100" workbookViewId="0">
      <selection activeCell="C7" sqref="C7:N7"/>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4"/>
      <c r="M1" s="7"/>
      <c r="O1" s="25"/>
    </row>
    <row r="2" spans="1:15" s="6" customFormat="1" ht="13.5" customHeight="1" x14ac:dyDescent="0.2">
      <c r="B2" s="30" t="str">
        <f>Report!A2</f>
        <v>Updated: December 18, 2014</v>
      </c>
      <c r="C2" s="30"/>
      <c r="D2" s="10"/>
      <c r="M2" s="7"/>
      <c r="O2" s="25"/>
    </row>
    <row r="3" spans="1:15" s="6" customFormat="1" ht="16.5" customHeight="1" x14ac:dyDescent="0.2">
      <c r="B3" s="254" t="str">
        <f>Report!A3</f>
        <v>Revisions Noted in Bold</v>
      </c>
      <c r="C3" s="31"/>
      <c r="D3" s="31"/>
      <c r="E3" s="31"/>
      <c r="F3" s="31"/>
      <c r="G3" s="31"/>
      <c r="H3" s="31"/>
      <c r="I3" s="31"/>
      <c r="J3" s="31"/>
      <c r="K3" s="31"/>
      <c r="L3" s="31"/>
      <c r="M3" s="31"/>
      <c r="N3" s="31"/>
      <c r="O3" s="25"/>
    </row>
    <row r="5" spans="1:15" ht="14.45" customHeight="1" x14ac:dyDescent="0.2">
      <c r="B5" s="319" t="s">
        <v>38</v>
      </c>
      <c r="C5" s="319"/>
      <c r="D5" s="14"/>
      <c r="E5" s="15"/>
      <c r="F5" s="16"/>
      <c r="G5" s="12"/>
      <c r="H5" s="12"/>
      <c r="I5" s="13"/>
      <c r="J5" s="17"/>
      <c r="K5" s="18"/>
      <c r="L5" s="18"/>
      <c r="M5" s="19"/>
      <c r="N5" s="20"/>
    </row>
    <row r="6" spans="1:15" x14ac:dyDescent="0.2">
      <c r="A6" s="21" t="s">
        <v>86</v>
      </c>
      <c r="C6" s="2"/>
      <c r="D6" s="1"/>
      <c r="E6" s="2"/>
      <c r="F6" s="1"/>
      <c r="G6" s="3"/>
      <c r="H6" s="3"/>
      <c r="I6" s="2"/>
      <c r="J6" s="2"/>
      <c r="K6" s="2"/>
      <c r="L6" s="2"/>
      <c r="M6" s="11"/>
      <c r="N6" s="2"/>
    </row>
    <row r="7" spans="1:15" s="32" customFormat="1" x14ac:dyDescent="0.2">
      <c r="A7" s="29" t="s">
        <v>45</v>
      </c>
      <c r="B7" s="86" t="s">
        <v>45</v>
      </c>
      <c r="C7" s="320" t="s">
        <v>44</v>
      </c>
      <c r="D7" s="321"/>
      <c r="E7" s="321"/>
      <c r="F7" s="321"/>
      <c r="G7" s="321"/>
      <c r="H7" s="321"/>
      <c r="I7" s="321"/>
      <c r="J7" s="321"/>
      <c r="K7" s="321"/>
      <c r="L7" s="321"/>
      <c r="M7" s="321"/>
      <c r="N7" s="321"/>
      <c r="O7" s="26"/>
    </row>
    <row r="8" spans="1:15" s="32" customFormat="1" ht="62.25" customHeight="1" x14ac:dyDescent="0.2">
      <c r="A8" s="29" t="s">
        <v>46</v>
      </c>
      <c r="B8" s="86" t="s">
        <v>46</v>
      </c>
      <c r="C8" s="320" t="s">
        <v>97</v>
      </c>
      <c r="D8" s="322"/>
      <c r="E8" s="322"/>
      <c r="F8" s="322"/>
      <c r="G8" s="322"/>
      <c r="H8" s="322"/>
      <c r="I8" s="322"/>
      <c r="J8" s="322"/>
      <c r="K8" s="322"/>
      <c r="L8" s="322"/>
      <c r="M8" s="322"/>
      <c r="N8" s="322"/>
      <c r="O8" s="26"/>
    </row>
    <row r="9" spans="1:15" s="32" customFormat="1" ht="51" customHeight="1" x14ac:dyDescent="0.2">
      <c r="A9" s="29" t="s">
        <v>47</v>
      </c>
      <c r="B9" s="86" t="s">
        <v>47</v>
      </c>
      <c r="C9" s="320" t="s">
        <v>56</v>
      </c>
      <c r="D9" s="321"/>
      <c r="E9" s="321"/>
      <c r="F9" s="321"/>
      <c r="G9" s="321"/>
      <c r="H9" s="321"/>
      <c r="I9" s="321"/>
      <c r="J9" s="321"/>
      <c r="K9" s="321"/>
      <c r="L9" s="321"/>
      <c r="M9" s="321"/>
      <c r="N9" s="321"/>
      <c r="O9" s="26"/>
    </row>
    <row r="10" spans="1:15" s="32" customFormat="1" ht="27" customHeight="1" x14ac:dyDescent="0.2">
      <c r="A10" s="29" t="s">
        <v>48</v>
      </c>
      <c r="B10" s="86" t="s">
        <v>48</v>
      </c>
      <c r="C10" s="320" t="s">
        <v>61</v>
      </c>
      <c r="D10" s="321"/>
      <c r="E10" s="321"/>
      <c r="F10" s="321"/>
      <c r="G10" s="321"/>
      <c r="H10" s="321"/>
      <c r="I10" s="321"/>
      <c r="J10" s="321"/>
      <c r="K10" s="321"/>
      <c r="L10" s="321"/>
      <c r="M10" s="321"/>
      <c r="N10" s="321"/>
      <c r="O10" s="26"/>
    </row>
    <row r="11" spans="1:15" s="32" customFormat="1" x14ac:dyDescent="0.2">
      <c r="A11" s="29" t="s">
        <v>49</v>
      </c>
      <c r="B11" s="86" t="s">
        <v>49</v>
      </c>
      <c r="C11" s="320" t="s">
        <v>57</v>
      </c>
      <c r="D11" s="321"/>
      <c r="E11" s="321"/>
      <c r="F11" s="321"/>
      <c r="G11" s="321"/>
      <c r="H11" s="321"/>
      <c r="I11" s="321"/>
      <c r="J11" s="321"/>
      <c r="K11" s="321"/>
      <c r="L11" s="321"/>
      <c r="M11" s="321"/>
      <c r="N11" s="321"/>
      <c r="O11" s="26"/>
    </row>
    <row r="12" spans="1:15" s="21" customFormat="1" ht="14.25" customHeight="1" x14ac:dyDescent="0.2">
      <c r="A12" s="29" t="s">
        <v>50</v>
      </c>
      <c r="B12" s="86" t="s">
        <v>50</v>
      </c>
      <c r="C12" s="320" t="s">
        <v>58</v>
      </c>
      <c r="D12" s="321"/>
      <c r="E12" s="321"/>
      <c r="F12" s="321"/>
      <c r="G12" s="321"/>
      <c r="H12" s="321"/>
      <c r="I12" s="321"/>
      <c r="J12" s="321"/>
      <c r="K12" s="321"/>
      <c r="L12" s="321"/>
      <c r="M12" s="321"/>
      <c r="N12" s="321"/>
      <c r="O12" s="26"/>
    </row>
    <row r="13" spans="1:15" s="32" customFormat="1" ht="14.25" customHeight="1" x14ac:dyDescent="0.2">
      <c r="A13" s="29" t="s">
        <v>51</v>
      </c>
      <c r="B13" s="86" t="s">
        <v>51</v>
      </c>
      <c r="C13" s="320" t="s">
        <v>3</v>
      </c>
      <c r="D13" s="321"/>
      <c r="E13" s="321"/>
      <c r="F13" s="321"/>
      <c r="G13" s="321"/>
      <c r="H13" s="321"/>
      <c r="I13" s="321"/>
      <c r="J13" s="321"/>
      <c r="K13" s="321"/>
      <c r="L13" s="321"/>
      <c r="M13" s="321"/>
      <c r="N13" s="321"/>
      <c r="O13" s="26"/>
    </row>
    <row r="14" spans="1:15" s="32" customFormat="1" ht="15" customHeight="1" x14ac:dyDescent="0.2">
      <c r="A14" s="29" t="s">
        <v>52</v>
      </c>
      <c r="B14" s="86" t="s">
        <v>52</v>
      </c>
      <c r="C14" s="320" t="s">
        <v>2</v>
      </c>
      <c r="D14" s="321"/>
      <c r="E14" s="321"/>
      <c r="F14" s="321"/>
      <c r="G14" s="321"/>
      <c r="H14" s="321"/>
      <c r="I14" s="321"/>
      <c r="J14" s="321"/>
      <c r="K14" s="321"/>
      <c r="L14" s="321"/>
      <c r="M14" s="321"/>
      <c r="N14" s="321"/>
      <c r="O14" s="26"/>
    </row>
    <row r="15" spans="1:15" s="32" customFormat="1" ht="30" customHeight="1" x14ac:dyDescent="0.2">
      <c r="A15" s="29" t="s">
        <v>53</v>
      </c>
      <c r="B15" s="86" t="s">
        <v>53</v>
      </c>
      <c r="C15" s="324" t="s">
        <v>95</v>
      </c>
      <c r="D15" s="324"/>
      <c r="E15" s="324"/>
      <c r="F15" s="324"/>
      <c r="G15" s="324"/>
      <c r="H15" s="324"/>
      <c r="I15" s="324"/>
      <c r="J15" s="324"/>
      <c r="K15" s="324"/>
      <c r="L15" s="324"/>
      <c r="M15" s="324"/>
      <c r="N15" s="324"/>
      <c r="O15" s="26"/>
    </row>
    <row r="16" spans="1:15" s="32" customFormat="1" ht="29.1" customHeight="1" x14ac:dyDescent="0.2">
      <c r="A16" s="29" t="s">
        <v>54</v>
      </c>
      <c r="B16" s="86" t="s">
        <v>54</v>
      </c>
      <c r="C16" s="320" t="s">
        <v>4</v>
      </c>
      <c r="D16" s="321"/>
      <c r="E16" s="321"/>
      <c r="F16" s="321"/>
      <c r="G16" s="321"/>
      <c r="H16" s="321"/>
      <c r="I16" s="321"/>
      <c r="J16" s="321"/>
      <c r="K16" s="321"/>
      <c r="L16" s="321"/>
      <c r="M16" s="321"/>
      <c r="N16" s="321"/>
      <c r="O16" s="26"/>
    </row>
    <row r="17" spans="1:19" ht="26.25" customHeight="1" x14ac:dyDescent="0.2">
      <c r="A17" s="28" t="s">
        <v>1</v>
      </c>
      <c r="B17" s="86" t="s">
        <v>55</v>
      </c>
      <c r="C17" s="323" t="s">
        <v>59</v>
      </c>
      <c r="D17" s="323"/>
      <c r="E17" s="323"/>
      <c r="F17" s="323"/>
      <c r="G17" s="323"/>
      <c r="H17" s="323"/>
      <c r="I17" s="323"/>
      <c r="J17" s="323"/>
      <c r="K17" s="323"/>
      <c r="L17" s="323"/>
      <c r="M17" s="323"/>
      <c r="N17" s="323"/>
      <c r="O17" s="111"/>
    </row>
    <row r="18" spans="1:19" ht="15.75" customHeight="1" x14ac:dyDescent="0.2">
      <c r="A18" s="28"/>
      <c r="B18" s="252" t="s">
        <v>105</v>
      </c>
      <c r="C18" s="325" t="s">
        <v>110</v>
      </c>
      <c r="D18" s="325"/>
      <c r="E18" s="325"/>
      <c r="F18" s="325"/>
      <c r="G18" s="325"/>
      <c r="H18" s="325"/>
      <c r="I18" s="325"/>
      <c r="J18" s="325"/>
      <c r="K18" s="325"/>
      <c r="L18" s="325"/>
      <c r="M18" s="325"/>
      <c r="N18" s="325"/>
      <c r="O18" s="111"/>
    </row>
    <row r="19" spans="1:19" ht="15" customHeight="1" x14ac:dyDescent="0.2">
      <c r="A19" s="28"/>
      <c r="B19" s="252" t="s">
        <v>108</v>
      </c>
      <c r="C19" s="317" t="s">
        <v>109</v>
      </c>
      <c r="D19" s="318"/>
      <c r="E19" s="318"/>
      <c r="F19" s="318"/>
      <c r="G19" s="318"/>
      <c r="H19" s="318"/>
      <c r="I19" s="318"/>
      <c r="J19" s="318"/>
      <c r="K19" s="318"/>
      <c r="L19" s="318"/>
      <c r="M19" s="318"/>
      <c r="N19" s="318"/>
      <c r="O19" s="111"/>
    </row>
    <row r="20" spans="1:19" x14ac:dyDescent="0.2">
      <c r="S20" s="24"/>
    </row>
    <row r="21" spans="1:19" x14ac:dyDescent="0.2">
      <c r="S21" s="24"/>
    </row>
    <row r="22" spans="1:19" x14ac:dyDescent="0.2">
      <c r="S22" s="24"/>
    </row>
    <row r="23" spans="1:19" x14ac:dyDescent="0.2">
      <c r="S23" s="24"/>
    </row>
    <row r="24" spans="1:19" x14ac:dyDescent="0.2">
      <c r="S24" s="24"/>
    </row>
    <row r="25" spans="1:19" x14ac:dyDescent="0.2">
      <c r="S25" s="24"/>
    </row>
    <row r="26" spans="1:19" x14ac:dyDescent="0.2">
      <c r="S26" s="24"/>
    </row>
    <row r="27" spans="1:19" x14ac:dyDescent="0.2">
      <c r="S27" s="24"/>
    </row>
    <row r="28" spans="1:19" x14ac:dyDescent="0.2">
      <c r="S28" s="24"/>
    </row>
    <row r="29" spans="1:19" x14ac:dyDescent="0.2">
      <c r="S29" s="24"/>
    </row>
    <row r="30" spans="1:19" x14ac:dyDescent="0.2">
      <c r="S30" s="24"/>
    </row>
    <row r="31" spans="1:19" x14ac:dyDescent="0.2">
      <c r="S31" s="24"/>
    </row>
    <row r="32" spans="1: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row r="63" spans="19:19" x14ac:dyDescent="0.2">
      <c r="S63" s="24"/>
    </row>
    <row r="64" spans="19:19" x14ac:dyDescent="0.2">
      <c r="S64" s="24"/>
    </row>
    <row r="65" spans="19:19" x14ac:dyDescent="0.2">
      <c r="S65" s="24"/>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4">
    <mergeCell ref="C19:N19"/>
    <mergeCell ref="B5:C5"/>
    <mergeCell ref="C9:N9"/>
    <mergeCell ref="C7:N7"/>
    <mergeCell ref="C8:N8"/>
    <mergeCell ref="C10:N10"/>
    <mergeCell ref="C16:N16"/>
    <mergeCell ref="C17:N17"/>
    <mergeCell ref="C11:N11"/>
    <mergeCell ref="C12:N12"/>
    <mergeCell ref="C13:N13"/>
    <mergeCell ref="C14:N14"/>
    <mergeCell ref="C15:N15"/>
    <mergeCell ref="C18:N18"/>
  </mergeCells>
  <phoneticPr fontId="16"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ignoredErrors>
    <ignoredError sqref="B7:B19" numberStoredAsText="1"/>
  </ignoredError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60" customWidth="1"/>
    <col min="2" max="3" width="2.28515625" style="60" customWidth="1"/>
    <col min="4" max="5" width="10.7109375" style="60" customWidth="1"/>
    <col min="6" max="6" width="8.7109375" style="60" customWidth="1"/>
    <col min="7" max="11" width="17.140625" style="60" customWidth="1"/>
    <col min="12" max="12" width="15.85546875" style="60" customWidth="1"/>
    <col min="13" max="16384" width="9.140625" style="60"/>
  </cols>
  <sheetData>
    <row r="1" spans="1:12" s="61" customFormat="1" ht="42.75" customHeight="1" x14ac:dyDescent="0.2">
      <c r="A1" s="60" t="s">
        <v>23</v>
      </c>
      <c r="B1" s="60"/>
      <c r="D1" s="62"/>
      <c r="E1" s="60"/>
      <c r="F1" s="60"/>
      <c r="G1" s="60"/>
      <c r="I1" s="63"/>
      <c r="J1" s="60"/>
      <c r="K1" s="60"/>
      <c r="L1" s="60"/>
    </row>
    <row r="2" spans="1:12" s="61" customFormat="1" ht="40.5" customHeight="1" x14ac:dyDescent="0.2">
      <c r="A2" s="60"/>
      <c r="B2" s="60"/>
      <c r="D2" s="62"/>
      <c r="E2" s="60"/>
      <c r="F2" s="60"/>
      <c r="G2" s="60"/>
      <c r="I2" s="63"/>
      <c r="J2" s="60"/>
      <c r="K2" s="60"/>
      <c r="L2" s="60"/>
    </row>
    <row r="3" spans="1:12" s="64" customFormat="1" ht="27.75" customHeight="1" x14ac:dyDescent="0.25">
      <c r="A3" s="326" t="s">
        <v>39</v>
      </c>
      <c r="B3" s="326"/>
      <c r="C3" s="326"/>
      <c r="D3" s="326"/>
      <c r="E3" s="326"/>
      <c r="F3" s="326"/>
      <c r="G3" s="326"/>
      <c r="H3" s="326"/>
      <c r="I3" s="326"/>
      <c r="J3" s="326"/>
      <c r="K3" s="326"/>
      <c r="L3" s="326"/>
    </row>
    <row r="4" spans="1:12" s="61" customFormat="1" x14ac:dyDescent="0.2">
      <c r="A4" s="60"/>
      <c r="B4" s="60"/>
      <c r="C4" s="65"/>
      <c r="D4" s="60"/>
      <c r="E4" s="60"/>
      <c r="F4" s="60"/>
      <c r="G4" s="60"/>
      <c r="H4" s="60"/>
      <c r="I4" s="60"/>
      <c r="J4" s="60"/>
      <c r="K4" s="60"/>
      <c r="L4" s="60"/>
    </row>
    <row r="5" spans="1:12" s="61" customFormat="1" x14ac:dyDescent="0.2">
      <c r="A5" s="66"/>
      <c r="B5" s="66"/>
      <c r="C5" s="66"/>
      <c r="D5" s="66"/>
      <c r="E5" s="66"/>
      <c r="F5" s="66"/>
      <c r="G5" s="66"/>
      <c r="H5" s="66"/>
      <c r="I5" s="66"/>
      <c r="J5" s="66"/>
      <c r="K5" s="66"/>
      <c r="L5" s="66"/>
    </row>
    <row r="6" spans="1:12" s="61" customFormat="1" x14ac:dyDescent="0.2">
      <c r="A6" s="60"/>
      <c r="B6" s="60"/>
      <c r="C6" s="60"/>
      <c r="D6" s="60"/>
      <c r="E6" s="60"/>
      <c r="F6" s="60"/>
      <c r="G6" s="60"/>
      <c r="H6" s="60"/>
      <c r="I6" s="60"/>
      <c r="J6" s="60"/>
      <c r="K6" s="60"/>
      <c r="L6" s="60"/>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2014-12-18T19:05:02Z</cp:lastPrinted>
  <dcterms:created xsi:type="dcterms:W3CDTF">1999-09-27T19:46:10Z</dcterms:created>
  <dcterms:modified xsi:type="dcterms:W3CDTF">2014-12-18T21:25:19Z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