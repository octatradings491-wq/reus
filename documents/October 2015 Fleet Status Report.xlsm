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bookViews>
  <sheets>
    <sheet name="Cover" sheetId="12" r:id="rId1"/>
    <sheet name="Report" sheetId="1" r:id="rId2"/>
    <sheet name="Footnotes" sheetId="2" r:id="rId3"/>
    <sheet name="Stacked&amp;Idle" sheetId="10" r:id="rId4"/>
    <sheet name="Disclaimers&amp;Definitions" sheetId="11" r:id="rId5"/>
  </sheets>
  <definedNames>
    <definedName name="_xlnm._FilterDatabase" localSheetId="1" hidden="1">Report!$A$8:$J$8</definedName>
    <definedName name="_xlnm.Print_Area" localSheetId="0">Cover!$A$1:$Z$17</definedName>
    <definedName name="_xlnm.Print_Area" localSheetId="4">'Disclaimers&amp;Definitions'!$A$1:$L$70</definedName>
    <definedName name="_xlnm.Print_Area" localSheetId="2">Footnotes!$B$1:$N$27</definedName>
    <definedName name="_xlnm.Print_Area" localSheetId="1">Report!$A$1:$W$182</definedName>
    <definedName name="_xlnm.Print_Area" localSheetId="3">'Stacked&amp;Idle'!$A$1:$P$35</definedName>
    <definedName name="_xlnm.Print_Titles" localSheetId="2">Footnotes!$1:$6</definedName>
    <definedName name="_xlnm.Print_Titles" localSheetId="1">Report!$A:$A,Report!$1:$8</definedName>
    <definedName name="Z_2B5E9AF3_7E15_4FFC_BC57_F18A8661CB86_.wvu.PrintArea" localSheetId="4" hidden="1">'Disclaimers&amp;Definitions'!$A$1:$L$6</definedName>
    <definedName name="Z_2B5E9AF3_7E15_4FFC_BC57_F18A8661CB86_.wvu.PrintArea" localSheetId="2" hidden="1">Footnotes!$C$1:$N$21</definedName>
    <definedName name="Z_2B5E9AF3_7E15_4FFC_BC57_F18A8661CB86_.wvu.PrintArea" localSheetId="1" hidden="1">Report!$A$1:$M$167</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'Disclaimers&amp;Definitions'!$A$1:$L$6</definedName>
    <definedName name="Z_6B3EFEE6_6D4B_487B_9131_15FDA5ABAE22_.wvu.PrintArea" localSheetId="2" hidden="1">Footnotes!$C$1:$N$21</definedName>
    <definedName name="Z_6B3EFEE6_6D4B_487B_9131_15FDA5ABAE22_.wvu.PrintArea" localSheetId="1" hidden="1">Report!$A$1:$M$167</definedName>
    <definedName name="Z_6B3EFEE6_6D4B_487B_9131_15FDA5ABAE22_.wvu.PrintTitles" localSheetId="2" hidden="1">Footnotes!$1:$6</definedName>
    <definedName name="Z_6B3EFEE6_6D4B_487B_9131_15FDA5ABAE22_.wvu.PrintTitles" localSheetId="1" hidden="1">Report!$A:$A,Report!$1:$8</definedName>
  </definedNames>
  <calcPr calcId="145621" iterate="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M47" i="1" l="1"/>
  <c r="L47" i="1"/>
  <c r="J47" i="1"/>
  <c r="M121" i="1" l="1"/>
  <c r="M53" i="1"/>
  <c r="A2" i="10" l="1"/>
  <c r="A3" i="10"/>
  <c r="J113" i="1" l="1"/>
  <c r="W115" i="1" l="1"/>
  <c r="V115" i="1"/>
  <c r="U115" i="1"/>
  <c r="T115" i="1"/>
  <c r="W82" i="1"/>
  <c r="V82" i="1"/>
  <c r="U82" i="1"/>
  <c r="T82" i="1"/>
  <c r="W94" i="1"/>
  <c r="V94" i="1"/>
  <c r="U94" i="1"/>
  <c r="T94" i="1"/>
  <c r="V59" i="1"/>
  <c r="U59" i="1"/>
  <c r="T59" i="1"/>
  <c r="P115" i="1"/>
  <c r="P94" i="1"/>
  <c r="R94" i="1"/>
  <c r="P82" i="1"/>
  <c r="R82" i="1"/>
  <c r="P59" i="1"/>
  <c r="O59" i="1"/>
  <c r="W59" i="1" l="1"/>
  <c r="Q115" i="1"/>
  <c r="Q82" i="1"/>
  <c r="Q94" i="1"/>
  <c r="Q59" i="1"/>
  <c r="R59" i="1"/>
  <c r="O115" i="1"/>
  <c r="O82" i="1"/>
  <c r="O94" i="1"/>
  <c r="R115" i="1"/>
  <c r="M124" i="1" l="1"/>
  <c r="M125" i="1"/>
  <c r="M126" i="1"/>
  <c r="M162" i="1" l="1"/>
  <c r="M163" i="1"/>
  <c r="M73" i="1" l="1"/>
  <c r="M72" i="1"/>
  <c r="M71" i="1"/>
  <c r="M113" i="1" l="1"/>
  <c r="W135" i="1" l="1"/>
  <c r="V135" i="1"/>
  <c r="T135" i="1"/>
  <c r="U135" i="1"/>
  <c r="W139" i="1" l="1"/>
  <c r="U139" i="1"/>
  <c r="T139" i="1"/>
  <c r="V139" i="1"/>
  <c r="Q135" i="1"/>
  <c r="P135" i="1"/>
  <c r="R135" i="1"/>
  <c r="O135" i="1"/>
  <c r="O139" i="1" l="1"/>
  <c r="Q139" i="1" l="1"/>
  <c r="R139" i="1"/>
  <c r="P139" i="1"/>
  <c r="I179" i="10" l="1"/>
  <c r="B2" i="2" l="1"/>
  <c r="B3" i="2"/>
</calcChain>
</file>

<file path=xl/sharedStrings.xml><?xml version="1.0" encoding="utf-8"?>
<sst xmlns="http://schemas.openxmlformats.org/spreadsheetml/2006/main" count="611" uniqueCount="272">
  <si>
    <t>1971/2000</t>
  </si>
  <si>
    <t>(17)</t>
  </si>
  <si>
    <t>(13)</t>
  </si>
  <si>
    <t>Current contract provides for a bonus incentive opportunity not reflected in the stated current contract dayrate.</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</si>
  <si>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</si>
  <si>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</si>
  <si>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</si>
  <si>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</si>
  <si>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</si>
  <si>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</si>
  <si>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</si>
  <si>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Gabon</t>
  </si>
  <si>
    <t>1976/1994/ 2008</t>
  </si>
  <si>
    <t>1985/2007</t>
  </si>
  <si>
    <t>BHP Billiton</t>
  </si>
  <si>
    <t>Rig Type/Name</t>
  </si>
  <si>
    <t>Water</t>
  </si>
  <si>
    <t>Depth</t>
  </si>
  <si>
    <t>Service</t>
  </si>
  <si>
    <t>1987/1997</t>
  </si>
  <si>
    <t>1983/1988</t>
  </si>
  <si>
    <t>1983/1992</t>
  </si>
  <si>
    <t>1983/1997</t>
  </si>
  <si>
    <t>1974/1993</t>
  </si>
  <si>
    <t>Location</t>
  </si>
  <si>
    <t>USGOM</t>
  </si>
  <si>
    <t>UKNS</t>
  </si>
  <si>
    <t>Brazil</t>
  </si>
  <si>
    <t>NNS</t>
  </si>
  <si>
    <t>Petrobras</t>
  </si>
  <si>
    <t>Nigeria</t>
  </si>
  <si>
    <t>Shell</t>
  </si>
  <si>
    <t>Total</t>
  </si>
  <si>
    <t>Indonesia</t>
  </si>
  <si>
    <t>Australia</t>
  </si>
  <si>
    <t>Angola</t>
  </si>
  <si>
    <t>India</t>
  </si>
  <si>
    <t>N/A</t>
  </si>
  <si>
    <t>Thailand</t>
  </si>
  <si>
    <t>BP</t>
  </si>
  <si>
    <t>Jack Bates</t>
  </si>
  <si>
    <t>1986/1997</t>
  </si>
  <si>
    <t>1983/1996</t>
  </si>
  <si>
    <t xml:space="preserve"> </t>
  </si>
  <si>
    <t>ship</t>
  </si>
  <si>
    <t>semi</t>
  </si>
  <si>
    <t>Floater</t>
  </si>
  <si>
    <t>Type</t>
  </si>
  <si>
    <t>Reliance</t>
  </si>
  <si>
    <t>ExxonMobil</t>
  </si>
  <si>
    <t>Chevron</t>
  </si>
  <si>
    <t>«</t>
  </si>
  <si>
    <t>Entered</t>
  </si>
  <si>
    <t>Estimated</t>
  </si>
  <si>
    <t>(Feet)</t>
  </si>
  <si>
    <t>(Dollars)</t>
  </si>
  <si>
    <t>TBA</t>
  </si>
  <si>
    <t>1973/2007</t>
  </si>
  <si>
    <t>GSF Galaxy I</t>
  </si>
  <si>
    <t>1991/2001</t>
  </si>
  <si>
    <t>Footnotes</t>
  </si>
  <si>
    <t>Stacked</t>
  </si>
  <si>
    <t>DISCLAIMERS &amp; DEFINITIONS</t>
  </si>
  <si>
    <t>Sedco 712</t>
  </si>
  <si>
    <t>Midwater Floaters</t>
  </si>
  <si>
    <t>Statoil</t>
  </si>
  <si>
    <t>Customer</t>
  </si>
  <si>
    <t xml:space="preserve">High Specification Jackups </t>
  </si>
  <si>
    <t>Harsh Environment Floaters</t>
  </si>
  <si>
    <t>Total Estimated Days Out of Service</t>
  </si>
  <si>
    <t>Start Date</t>
  </si>
  <si>
    <t>Stacked and Idle rigs detailed above are not currently operating on contract.  Start date denotes when rig commences idle or stacked status.</t>
  </si>
  <si>
    <t>Dayrate on</t>
  </si>
  <si>
    <t>Rig Management Norway</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</si>
  <si>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</si>
  <si>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</si>
  <si>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</si>
  <si>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</si>
  <si>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</si>
  <si>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</si>
  <si>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</si>
  <si>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</si>
  <si>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</si>
  <si>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</si>
  <si>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</si>
  <si>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</si>
  <si>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</si>
  <si>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(15)</t>
  </si>
  <si>
    <t>Estimated Average Contract Dayrate is defined as the average contracted full operating dayrate to be earned per revenue earning day. See note (3) for definition of full operating dayrate.</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</si>
  <si>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</si>
  <si>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While the customer has the option to add any out of service days to the end of the contract, the Estimated Expiration Date does not reflect any extension due to this option until actually exercised by the customer.</t>
  </si>
  <si>
    <t>Marathon</t>
  </si>
  <si>
    <t>(16)</t>
  </si>
  <si>
    <t>Talisman</t>
  </si>
  <si>
    <t>Transocean Siam Driller</t>
  </si>
  <si>
    <t>Transocean Andaman</t>
  </si>
  <si>
    <t>Transocean Ao Thai</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</si>
  <si>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</si>
  <si>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</si>
  <si>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</si>
  <si>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</si>
  <si>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</si>
  <si>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</si>
  <si>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</si>
  <si>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</si>
  <si>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</si>
  <si>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</si>
  <si>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</si>
  <si>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</si>
  <si>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Spitsbergen</t>
  </si>
  <si>
    <t>Transocean Barents</t>
  </si>
  <si>
    <t>Transocean Leader</t>
  </si>
  <si>
    <t xml:space="preserve"> (6), (7)</t>
  </si>
  <si>
    <t>Paul B. Loyd, Jr.</t>
  </si>
  <si>
    <t>Transocean Arctic</t>
  </si>
  <si>
    <t>Sedco 711</t>
  </si>
  <si>
    <t>(6), (7)</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</si>
  <si>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</si>
  <si>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</si>
  <si>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</si>
  <si>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</si>
  <si>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</si>
  <si>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</si>
  <si>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</si>
  <si>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</si>
  <si>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</si>
  <si>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</si>
  <si>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</si>
  <si>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</si>
  <si>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</si>
  <si>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</si>
  <si>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</si>
  <si>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</si>
  <si>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</si>
  <si>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</si>
  <si>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</si>
  <si>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</si>
  <si>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</si>
  <si>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</si>
  <si>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</si>
  <si>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</si>
  <si>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</si>
  <si>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</si>
  <si>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</si>
  <si>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</si>
  <si>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M.G. Hulme, Jr.</t>
  </si>
  <si>
    <t>Henry Goodrich</t>
  </si>
  <si>
    <t>Polar Pioneer</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</si>
  <si>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</si>
  <si>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</si>
  <si>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</si>
  <si>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</si>
  <si>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</si>
  <si>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</si>
  <si>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</si>
  <si>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</si>
  <si>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</si>
  <si>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</si>
  <si>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</si>
  <si>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</si>
  <si>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</si>
  <si>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</si>
  <si>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Sedco 704</t>
  </si>
  <si>
    <t>Revisions Noted in Bold</t>
  </si>
  <si>
    <t>Deepwater Invictus</t>
  </si>
  <si>
    <t>Deepwater Asgard</t>
  </si>
  <si>
    <t>Maersk</t>
  </si>
  <si>
    <t>Transocean Honor</t>
  </si>
  <si>
    <t>Q4</t>
  </si>
  <si>
    <t>Q1</t>
  </si>
  <si>
    <t>Q2</t>
  </si>
  <si>
    <t>Q3</t>
  </si>
  <si>
    <t>Discoverer Deep Seas</t>
  </si>
  <si>
    <t>Murphy Oil</t>
  </si>
  <si>
    <t>(6), (11)</t>
  </si>
  <si>
    <t>(6), (8)</t>
  </si>
  <si>
    <t>Q2 2026</t>
  </si>
  <si>
    <t xml:space="preserve"> (6), (13)</t>
  </si>
  <si>
    <t>Fixed-Price Options - See Footnote 10</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</si>
  <si>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</si>
  <si>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</si>
  <si>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</si>
  <si>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Revenue Efficiency</t>
  </si>
  <si>
    <r>
      <t xml:space="preserve">Estimated Out of Service Days </t>
    </r>
    <r>
      <rPr>
        <b/>
        <vertAlign val="superscript"/>
        <sz val="10"/>
        <color theme="0"/>
        <rFont val="Arial"/>
        <family val="2"/>
      </rPr>
      <t>(4)</t>
    </r>
  </si>
  <si>
    <t>Woodside</t>
  </si>
  <si>
    <t>Idle</t>
  </si>
  <si>
    <t>Q4 2016</t>
  </si>
  <si>
    <t>(6), (8), (11)</t>
  </si>
  <si>
    <t>Q4 2021</t>
  </si>
  <si>
    <t>Alaska</t>
  </si>
  <si>
    <t>Q3 2013 Actual</t>
  </si>
  <si>
    <t>Deepwater Thalassa</t>
  </si>
  <si>
    <t>Deepwater Proteus</t>
  </si>
  <si>
    <t xml:space="preserve">Deepwater Pontus </t>
  </si>
  <si>
    <t>Deepwater Poseidon</t>
  </si>
  <si>
    <t>Deepwater Conqueror</t>
  </si>
  <si>
    <t>CNR</t>
  </si>
  <si>
    <t>Ivory Coast</t>
  </si>
  <si>
    <t>GSF Galaxy II</t>
  </si>
  <si>
    <t>Q4 2013 Actual</t>
  </si>
  <si>
    <t>Estimated Contract Drilling Revenue can be calculated as: Paid Days on Contract * Average Contract Dayrate * Revenue Efficiency</t>
  </si>
  <si>
    <t>JSPL Ultra-Deepwater Drillship TBN 2</t>
  </si>
  <si>
    <t>JSPL Ultra-Deepwater Drillship TBN 1</t>
  </si>
  <si>
    <t>Current</t>
  </si>
  <si>
    <r>
      <t xml:space="preserve">Contract </t>
    </r>
    <r>
      <rPr>
        <b/>
        <vertAlign val="superscript"/>
        <sz val="10"/>
        <color theme="0"/>
        <rFont val="Arial"/>
        <family val="2"/>
      </rPr>
      <t>(3)</t>
    </r>
  </si>
  <si>
    <t>Previous</t>
  </si>
  <si>
    <t>Romania</t>
  </si>
  <si>
    <t>Lukoil</t>
  </si>
  <si>
    <t>Vaalco</t>
  </si>
  <si>
    <t>Q1 2014 Actual</t>
  </si>
  <si>
    <t>High Specification Jackups (10)</t>
  </si>
  <si>
    <t>GSF Monarch</t>
  </si>
  <si>
    <t xml:space="preserve">  (6), (7), (8) </t>
  </si>
  <si>
    <t>Inpex</t>
  </si>
  <si>
    <t>Q2 2014 Actual</t>
  </si>
  <si>
    <t>The dayrate for the last year of the contract will be set three months prior to the third anniversary of the contract commencement date, subject to a floor dayrate of $305,000 and a ceiling dayrate of $365,000, pursuant to the terms of the contract.</t>
  </si>
  <si>
    <t>Rigs Under Construction (12)</t>
  </si>
  <si>
    <t>Transocean Cepheus</t>
  </si>
  <si>
    <t>Transocean Cassiopeia</t>
  </si>
  <si>
    <t>Transocean Centaurus</t>
  </si>
  <si>
    <t>Transocean Cetus</t>
  </si>
  <si>
    <t>Transocean Circinus</t>
  </si>
  <si>
    <t>The rig is owned by Transocean Partners LLC in which the company owns less than a 100% interest. Please refer to Transocean Partners LLC (NYSE: RIGP) Fleet Status Report which can be found at www.transoceanpartners.com.</t>
  </si>
  <si>
    <t>Enquest</t>
  </si>
  <si>
    <t>Q3 2014 Actual</t>
  </si>
  <si>
    <t xml:space="preserve"> (7), (8), (15)</t>
  </si>
  <si>
    <t xml:space="preserve"> (7), (8) </t>
  </si>
  <si>
    <t>Q4 2014 Actual</t>
  </si>
  <si>
    <t>Ultra-Deepwater (27)</t>
  </si>
  <si>
    <t>Harsh Environment (7)</t>
  </si>
  <si>
    <t>The first of five newbuild high-specification jackups contracted to Keppel FELS Limited's shipyard in Singapore is expected to be delivered from the shipyard in the first quarter of 2018 and the remaining four jackups delivered at approximately six-month intervals thereafter.</t>
  </si>
  <si>
    <t>Q1 2015 Actual</t>
  </si>
  <si>
    <t>The two drillships on order from Sembcorp Marine's subsidiary, Jurong Shipyard, are expected to be delivered in the second quarter of 2019 and the first quarter of 2020, respectively.</t>
  </si>
  <si>
    <t>Deepwater (6)</t>
  </si>
  <si>
    <t>Q2 2016</t>
  </si>
  <si>
    <t xml:space="preserve">Based on the rig's performance, the dayrate can fluctuate between $445,000 and $495,000. </t>
  </si>
  <si>
    <t>Ultra-Deepwater</t>
  </si>
  <si>
    <t>Harsh Environment</t>
  </si>
  <si>
    <t xml:space="preserve"> (6), (8), (16)</t>
  </si>
  <si>
    <t>(6), (8), (16)</t>
  </si>
  <si>
    <t>(6), (16)</t>
  </si>
  <si>
    <t>(6), (17)</t>
  </si>
  <si>
    <t>Q2 2015 Actual</t>
  </si>
  <si>
    <t>OMV</t>
  </si>
  <si>
    <t>(20)</t>
  </si>
  <si>
    <t>Midwater Floaters (12)</t>
  </si>
  <si>
    <t>Korea</t>
  </si>
  <si>
    <t>Updated: October 26, 2015</t>
  </si>
  <si>
    <t>Q4 2017</t>
  </si>
  <si>
    <t>Q4 2027</t>
  </si>
  <si>
    <t>Q1 2018</t>
  </si>
  <si>
    <t>Q1 2028</t>
  </si>
  <si>
    <t>Myanmar</t>
  </si>
  <si>
    <t>UAE</t>
  </si>
  <si>
    <t>Bunduq</t>
  </si>
  <si>
    <t>Reflects the current contracted dayrate which could reflect prior cost escalations, or de-escalations, and could change in the future due to further cost escalations, or de-escalations.</t>
  </si>
  <si>
    <t>(6), (7), (21)</t>
  </si>
  <si>
    <r>
      <t>(6), (7),</t>
    </r>
    <r>
      <rPr>
        <b/>
        <sz val="10"/>
        <rFont val="Arial"/>
        <family val="2"/>
      </rPr>
      <t xml:space="preserve"> (21)</t>
    </r>
  </si>
  <si>
    <t>(21)</t>
  </si>
  <si>
    <t>The contract is expected to start in the quarter indicated. Factors that could influence the contract start date include shipyard delivery, customer acceptance, and mobilization to operating location, among others.</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</si>
  <si>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</si>
  <si>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</si>
  <si>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</si>
  <si>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The rig is owned by a joint venture in which the company owns less than a 100 percent interest. Dayrate reflects 100 percent of the contract rate.</t>
  </si>
  <si>
    <t>Mobilization, customer commissioning and acceptance testing commenced in March 2014. Revenue of approximately $52 million earned from March 2014 to July 2014 will be recognized over the remaining three-year contract period ending in March 2017.</t>
  </si>
  <si>
    <t>Ultra-Deepwater Floaters</t>
  </si>
  <si>
    <t>Deepwater Floaters</t>
  </si>
  <si>
    <t>High-Specification Jackups</t>
  </si>
  <si>
    <t>Idle Rigs (8)</t>
  </si>
  <si>
    <t>Stacked Rigs (14)</t>
  </si>
  <si>
    <r>
      <t xml:space="preserve">The OMV contract, originally awarded to the </t>
    </r>
    <r>
      <rPr>
        <b/>
        <i/>
        <sz val="10"/>
        <rFont val="Arial"/>
        <family val="2"/>
      </rPr>
      <t>Transocean Arctic,</t>
    </r>
    <r>
      <rPr>
        <b/>
        <sz val="10"/>
        <rFont val="Arial"/>
        <family val="2"/>
      </rPr>
      <t xml:space="preserve"> has been transferred to the </t>
    </r>
    <r>
      <rPr>
        <b/>
        <i/>
        <sz val="10"/>
        <rFont val="Arial"/>
        <family val="2"/>
      </rPr>
      <t>Transocean</t>
    </r>
    <r>
      <rPr>
        <b/>
        <sz val="10"/>
        <rFont val="Arial"/>
        <family val="2"/>
      </rPr>
      <t xml:space="preserve"> </t>
    </r>
    <r>
      <rPr>
        <b/>
        <i/>
        <sz val="10"/>
        <rFont val="Arial"/>
        <family val="2"/>
      </rPr>
      <t>Spitsbergen.</t>
    </r>
  </si>
  <si>
    <t>Reflects the current contracted dayrate for Australia operations; dayrate will be adjusted to reflect change in location to Myanmar.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</si>
</sst>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 numFmtId="169" formatCode="[$-409]mmm\-yy;@"/>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u/>
      <sz val="1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3"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23"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43" fillId="0" borderId="0" applyFont="0" applyFill="0" applyBorder="0" applyAlignment="0" applyProtection="0"/>
    <xf numFmtId="0" fontId="4" fillId="0" borderId="0"/>
    <xf numFmtId="0" fontId="43" fillId="0" borderId="0"/>
    <xf numFmtId="9" fontId="43" fillId="0" borderId="0" applyFont="0" applyFill="0" applyBorder="0" applyAlignment="0" applyProtection="0"/>
    <xf numFmtId="41" fontId="6" fillId="8" borderId="0" applyNumberFormat="0" applyFont="0" applyBorder="0" applyAlignment="0" applyProtection="0"/>
    <xf numFmtId="0" fontId="44" fillId="0" borderId="0" applyNumberFormat="0" applyFill="0" applyBorder="0" applyAlignment="0" applyProtection="0"/>
    <xf numFmtId="0" fontId="45" fillId="0" borderId="2">
      <alignment horizontal="left" vertical="center"/>
    </xf>
    <xf numFmtId="168" fontId="6" fillId="0" borderId="0"/>
    <xf numFmtId="0" fontId="45" fillId="0" borderId="16" applyNumberFormat="0" applyAlignment="0" applyProtection="0">
      <alignment horizontal="left" vertical="center"/>
    </xf>
    <xf numFmtId="43" fontId="4" fillId="0" borderId="0" applyFont="0" applyFill="0" applyBorder="0" applyAlignment="0" applyProtection="0"/>
    <xf numFmtId="44" fontId="43" fillId="0" borderId="0" applyFont="0" applyFill="0" applyBorder="0" applyAlignment="0" applyProtection="0"/>
    <xf numFmtId="43" fontId="4" fillId="0" borderId="0" applyFont="0" applyFill="0" applyBorder="0" applyAlignment="0" applyProtection="0"/>
    <xf numFmtId="37" fontId="46" fillId="0" borderId="0"/>
    <xf numFmtId="0" fontId="4" fillId="0" borderId="0"/>
    <xf numFmtId="49" fontId="47"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546">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2"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2" fillId="0" borderId="0" xfId="0" applyNumberFormat="1" applyFont="1" applyFill="1" applyAlignment="1">
      <alignment vertical="center"/>
    </xf>
    <xf numFmtId="0" fontId="17"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1"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7"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0" fillId="0" borderId="0" xfId="0" applyFill="1"/>
    <xf numFmtId="0" fontId="20" fillId="0" borderId="0" xfId="0" applyFont="1" applyFill="1" applyAlignment="1">
      <alignment vertical="top" wrapText="1"/>
    </xf>
    <xf numFmtId="0" fontId="20"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17" fontId="6" fillId="0" borderId="0" xfId="3" applyNumberFormat="1" applyFont="1" applyFill="1" applyAlignment="1">
      <alignment horizontal="right" vertical="top" wrapText="1"/>
    </xf>
    <xf numFmtId="167" fontId="7" fillId="0" borderId="0" xfId="4" applyNumberFormat="1" applyFont="1" applyFill="1" applyBorder="1" applyAlignment="1">
      <alignment horizontal="center" vertical="top"/>
    </xf>
    <xf numFmtId="0" fontId="6" fillId="0" borderId="0" xfId="0" applyFont="1" applyAlignment="1">
      <alignment wrapText="1"/>
    </xf>
    <xf numFmtId="0" fontId="20"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0" xfId="4" applyNumberFormat="1" applyFont="1" applyFill="1" applyBorder="1" applyAlignment="1">
      <alignment vertical="top"/>
    </xf>
    <xf numFmtId="167" fontId="6" fillId="0" borderId="1" xfId="4" applyNumberFormat="1" applyFont="1" applyFill="1" applyBorder="1" applyAlignment="1">
      <alignment vertical="top"/>
    </xf>
    <xf numFmtId="166" fontId="6" fillId="0" borderId="0" xfId="10" applyNumberFormat="1" applyFont="1" applyFill="1" applyBorder="1"/>
    <xf numFmtId="0" fontId="6" fillId="0" borderId="0" xfId="17" applyFont="1"/>
    <xf numFmtId="0" fontId="6" fillId="0" borderId="0" xfId="17" applyFont="1" applyFill="1"/>
    <xf numFmtId="0" fontId="6" fillId="0" borderId="0" xfId="17" applyFont="1" applyFill="1" applyAlignment="1">
      <alignment vertical="center"/>
    </xf>
    <xf numFmtId="0" fontId="6" fillId="0" borderId="0" xfId="17"/>
    <xf numFmtId="0" fontId="25" fillId="3" borderId="10" xfId="0" quotePrefix="1" applyFont="1" applyFill="1" applyBorder="1" applyAlignment="1"/>
    <xf numFmtId="0" fontId="26" fillId="3" borderId="8" xfId="0" applyFont="1" applyFill="1" applyBorder="1" applyAlignment="1"/>
    <xf numFmtId="0" fontId="27" fillId="3" borderId="3" xfId="0" applyFont="1" applyFill="1" applyBorder="1" applyAlignment="1">
      <alignment vertical="top"/>
    </xf>
    <xf numFmtId="0" fontId="28" fillId="3" borderId="3" xfId="0" applyFont="1" applyFill="1" applyBorder="1" applyAlignment="1">
      <alignment horizontal="center" vertical="top" wrapText="1"/>
    </xf>
    <xf numFmtId="0" fontId="28" fillId="3" borderId="3" xfId="0" applyFont="1" applyFill="1" applyBorder="1" applyAlignment="1">
      <alignment horizontal="center"/>
    </xf>
    <xf numFmtId="0" fontId="30" fillId="3" borderId="3" xfId="0" applyFont="1" applyFill="1" applyBorder="1" applyAlignment="1">
      <alignment vertical="top"/>
    </xf>
    <xf numFmtId="0" fontId="28" fillId="3" borderId="0" xfId="0" applyFont="1" applyFill="1" applyBorder="1" applyAlignment="1">
      <alignment horizontal="center" vertical="top"/>
    </xf>
    <xf numFmtId="0" fontId="30" fillId="3" borderId="0" xfId="0" applyFont="1" applyFill="1" applyBorder="1" applyAlignment="1">
      <alignment vertical="top"/>
    </xf>
    <xf numFmtId="0" fontId="28" fillId="3" borderId="0" xfId="0" applyFont="1" applyFill="1" applyBorder="1" applyAlignment="1">
      <alignment horizontal="center"/>
    </xf>
    <xf numFmtId="0" fontId="28" fillId="3" borderId="1" xfId="0" applyFont="1" applyFill="1" applyBorder="1" applyAlignment="1">
      <alignment horizontal="center" vertical="top" wrapText="1"/>
    </xf>
    <xf numFmtId="0" fontId="30" fillId="3" borderId="1" xfId="0" applyFont="1" applyFill="1" applyBorder="1" applyAlignment="1">
      <alignment horizontal="center" vertical="top" wrapText="1"/>
    </xf>
    <xf numFmtId="0" fontId="28" fillId="3" borderId="1" xfId="0" applyFont="1" applyFill="1" applyBorder="1" applyAlignment="1">
      <alignment horizontal="center"/>
    </xf>
    <xf numFmtId="0" fontId="28" fillId="3" borderId="7" xfId="0" applyFont="1" applyFill="1" applyBorder="1" applyAlignment="1"/>
    <xf numFmtId="0" fontId="28" fillId="3" borderId="0" xfId="0" applyFont="1" applyFill="1" applyBorder="1" applyAlignment="1">
      <alignment horizontal="center" wrapText="1"/>
    </xf>
    <xf numFmtId="167" fontId="28" fillId="3" borderId="1" xfId="4" applyNumberFormat="1" applyFont="1" applyFill="1" applyBorder="1" applyAlignment="1">
      <alignment horizontal="center" vertical="top" wrapText="1"/>
    </xf>
    <xf numFmtId="0" fontId="28" fillId="3" borderId="11" xfId="0" applyFont="1" applyFill="1" applyBorder="1" applyAlignment="1">
      <alignment horizontal="center" vertical="top" wrapText="1"/>
    </xf>
    <xf numFmtId="0" fontId="26" fillId="4" borderId="2" xfId="0" quotePrefix="1" applyFont="1" applyFill="1" applyBorder="1" applyAlignment="1">
      <alignment vertical="top"/>
    </xf>
    <xf numFmtId="0" fontId="31" fillId="4" borderId="2" xfId="0" quotePrefix="1" applyFont="1" applyFill="1" applyBorder="1" applyAlignment="1">
      <alignment vertical="top"/>
    </xf>
    <xf numFmtId="167" fontId="32" fillId="4" borderId="2" xfId="4" quotePrefix="1" applyNumberFormat="1" applyFont="1" applyFill="1" applyBorder="1" applyAlignment="1">
      <alignment horizontal="center" vertical="top"/>
    </xf>
    <xf numFmtId="0" fontId="26" fillId="4" borderId="4" xfId="0" quotePrefix="1" applyFont="1" applyFill="1" applyBorder="1" applyAlignment="1">
      <alignmen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167" fontId="32" fillId="4" borderId="2" xfId="4" quotePrefix="1" applyNumberFormat="1" applyFont="1" applyFill="1" applyBorder="1" applyAlignment="1">
      <alignment vertical="top"/>
    </xf>
    <xf numFmtId="167" fontId="32" fillId="4" borderId="5" xfId="4" quotePrefix="1" applyNumberFormat="1" applyFont="1" applyFill="1" applyBorder="1" applyAlignment="1">
      <alignment horizontal="center" vertical="top"/>
    </xf>
    <xf numFmtId="49" fontId="27" fillId="4" borderId="2" xfId="0" quotePrefix="1" applyNumberFormat="1" applyFont="1" applyFill="1" applyBorder="1" applyAlignment="1">
      <alignment vertical="top"/>
    </xf>
    <xf numFmtId="0" fontId="7" fillId="0" borderId="14" xfId="0" applyFont="1" applyFill="1" applyBorder="1"/>
    <xf numFmtId="49" fontId="28" fillId="3" borderId="13" xfId="0" applyNumberFormat="1" applyFont="1" applyFill="1" applyBorder="1" applyAlignment="1">
      <alignment horizontal="center" vertical="top"/>
    </xf>
    <xf numFmtId="49" fontId="28" fillId="3" borderId="14" xfId="0" applyNumberFormat="1" applyFont="1" applyFill="1" applyBorder="1" applyAlignment="1">
      <alignment horizontal="center" vertical="top" wrapText="1"/>
    </xf>
    <xf numFmtId="0" fontId="28" fillId="3" borderId="15" xfId="0" applyFont="1" applyFill="1" applyBorder="1" applyAlignment="1">
      <alignment horizontal="center" vertical="top" wrapText="1"/>
    </xf>
    <xf numFmtId="0" fontId="6" fillId="0" borderId="0" xfId="17" applyFont="1" applyFill="1" applyAlignment="1">
      <alignment horizontal="left"/>
    </xf>
    <xf numFmtId="0" fontId="20" fillId="0" borderId="0" xfId="17" applyFont="1" applyFill="1"/>
    <xf numFmtId="165" fontId="6" fillId="0" borderId="0" xfId="17" quotePrefix="1" applyNumberFormat="1" applyFont="1" applyFill="1" applyAlignment="1">
      <alignment horizontal="left" vertical="center"/>
    </xf>
    <xf numFmtId="165" fontId="6" fillId="0" borderId="0" xfId="17" applyNumberFormat="1" applyFont="1" applyFill="1" applyAlignment="1">
      <alignment vertical="center"/>
    </xf>
    <xf numFmtId="0" fontId="6" fillId="0" borderId="0" xfId="17" applyFill="1"/>
    <xf numFmtId="0" fontId="7" fillId="0" borderId="0" xfId="17" applyFont="1" applyFill="1" applyBorder="1" applyAlignment="1">
      <alignment horizontal="center" wrapText="1"/>
    </xf>
    <xf numFmtId="0" fontId="15" fillId="0" borderId="3" xfId="17" applyFont="1" applyFill="1" applyBorder="1" applyAlignment="1">
      <alignment vertical="top"/>
    </xf>
    <xf numFmtId="14" fontId="6" fillId="0" borderId="0" xfId="17" applyNumberFormat="1" applyFont="1" applyFill="1" applyAlignment="1">
      <alignment horizontal="center" vertical="top" wrapText="1"/>
    </xf>
    <xf numFmtId="3" fontId="6" fillId="0" borderId="0" xfId="17" applyNumberFormat="1" applyFont="1" applyFill="1" applyAlignment="1">
      <alignment horizontal="right" vertical="top" wrapText="1"/>
    </xf>
    <xf numFmtId="0" fontId="7" fillId="0" borderId="0" xfId="17" applyFont="1"/>
    <xf numFmtId="14" fontId="7" fillId="0" borderId="0" xfId="17" applyNumberFormat="1" applyFont="1"/>
    <xf numFmtId="0" fontId="35" fillId="0" borderId="0" xfId="17" applyFont="1"/>
    <xf numFmtId="0" fontId="35" fillId="0" borderId="0" xfId="17" applyFont="1" applyFill="1"/>
    <xf numFmtId="0" fontId="35" fillId="0" borderId="0" xfId="0" applyFont="1" applyFill="1" applyAlignment="1"/>
    <xf numFmtId="0" fontId="36" fillId="0" borderId="0" xfId="17" applyFont="1"/>
    <xf numFmtId="0" fontId="35" fillId="6" borderId="0" xfId="17" applyFont="1" applyFill="1"/>
    <xf numFmtId="0" fontId="35" fillId="0" borderId="0" xfId="17" applyFont="1" applyAlignment="1">
      <alignment vertical="center"/>
    </xf>
    <xf numFmtId="0" fontId="35" fillId="0" borderId="0" xfId="17" applyFont="1" applyAlignment="1">
      <alignment vertical="top" wrapText="1"/>
    </xf>
    <xf numFmtId="43" fontId="27"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6"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167" fontId="6" fillId="0" borderId="6" xfId="4" applyNumberFormat="1" applyFont="1" applyFill="1" applyBorder="1" applyAlignment="1">
      <alignment vertical="top"/>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9" fillId="0" borderId="8" xfId="3" applyFont="1" applyFill="1" applyBorder="1" applyAlignment="1">
      <alignment vertical="top" wrapText="1"/>
    </xf>
    <xf numFmtId="0" fontId="19" fillId="0" borderId="0" xfId="3" applyFont="1" applyFill="1" applyBorder="1" applyAlignment="1">
      <alignment horizontal="center" vertical="top"/>
    </xf>
    <xf numFmtId="1" fontId="19" fillId="0" borderId="0" xfId="3" applyNumberFormat="1" applyFont="1" applyFill="1" applyBorder="1" applyAlignment="1">
      <alignment horizontal="center" vertical="top"/>
    </xf>
    <xf numFmtId="3" fontId="19" fillId="0" borderId="0" xfId="3" applyNumberFormat="1" applyFont="1" applyFill="1" applyBorder="1" applyAlignment="1">
      <alignment horizontal="center" vertical="top"/>
    </xf>
    <xf numFmtId="0" fontId="19" fillId="0" borderId="0" xfId="3" applyFont="1" applyFill="1" applyBorder="1" applyAlignment="1">
      <alignment horizontal="center" vertical="top" wrapText="1"/>
    </xf>
    <xf numFmtId="17" fontId="19" fillId="0" borderId="0" xfId="3" applyNumberFormat="1" applyFont="1" applyFill="1" applyBorder="1" applyAlignment="1">
      <alignment horizontal="center" vertical="top" wrapText="1"/>
    </xf>
    <xf numFmtId="17" fontId="19" fillId="0" borderId="0" xfId="3" applyNumberFormat="1" applyFont="1" applyFill="1" applyBorder="1" applyAlignment="1">
      <alignment horizontal="right" vertical="top" wrapText="1"/>
    </xf>
    <xf numFmtId="164" fontId="19" fillId="0" borderId="0" xfId="3" applyNumberFormat="1" applyFont="1" applyFill="1" applyBorder="1" applyAlignment="1">
      <alignment horizontal="right" vertical="top" wrapText="1"/>
    </xf>
    <xf numFmtId="0" fontId="6" fillId="0" borderId="7" xfId="0" applyFont="1" applyFill="1" applyBorder="1"/>
    <xf numFmtId="167" fontId="28"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7" fillId="3" borderId="10" xfId="0" applyFont="1" applyFill="1" applyBorder="1" applyAlignment="1">
      <alignment vertical="top"/>
    </xf>
    <xf numFmtId="0" fontId="28" fillId="3" borderId="8" xfId="0" applyFont="1" applyFill="1" applyBorder="1" applyAlignment="1">
      <alignment horizontal="center" vertical="top"/>
    </xf>
    <xf numFmtId="0" fontId="28" fillId="3" borderId="7" xfId="0" applyFont="1" applyFill="1" applyBorder="1" applyAlignment="1">
      <alignment horizontal="center" vertical="top" wrapText="1"/>
    </xf>
    <xf numFmtId="0" fontId="28" fillId="3" borderId="1" xfId="0" applyFont="1" applyFill="1" applyBorder="1" applyAlignment="1">
      <alignment horizontal="center" vertical="top"/>
    </xf>
    <xf numFmtId="0" fontId="6" fillId="0" borderId="0" xfId="2" applyFont="1" applyFill="1" applyBorder="1" applyAlignment="1">
      <alignment vertical="top" wrapText="1"/>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0" fontId="32" fillId="4" borderId="4" xfId="0" applyFont="1" applyFill="1" applyBorder="1" applyAlignment="1">
      <alignment vertical="top"/>
    </xf>
    <xf numFmtId="15" fontId="6" fillId="0" borderId="0" xfId="0" applyNumberFormat="1" applyFont="1" applyFill="1" applyBorder="1" applyAlignment="1">
      <alignment horizontal="center" vertical="top" wrapText="1"/>
    </xf>
    <xf numFmtId="0" fontId="37" fillId="4" borderId="7" xfId="0" quotePrefix="1" applyFont="1" applyFill="1" applyBorder="1" applyAlignment="1">
      <alignment vertical="top"/>
    </xf>
    <xf numFmtId="0" fontId="37" fillId="4" borderId="1" xfId="0" quotePrefix="1" applyFont="1" applyFill="1" applyBorder="1" applyAlignment="1">
      <alignment vertical="top"/>
    </xf>
    <xf numFmtId="49" fontId="32" fillId="4" borderId="1" xfId="0" quotePrefix="1" applyNumberFormat="1" applyFont="1" applyFill="1" applyBorder="1" applyAlignment="1">
      <alignment vertical="top"/>
    </xf>
    <xf numFmtId="0" fontId="32" fillId="4" borderId="1" xfId="0" quotePrefix="1" applyFont="1" applyFill="1" applyBorder="1" applyAlignment="1">
      <alignment vertical="top"/>
    </xf>
    <xf numFmtId="0" fontId="40" fillId="4" borderId="1" xfId="0" quotePrefix="1" applyFont="1" applyFill="1" applyBorder="1" applyAlignment="1">
      <alignment vertical="top"/>
    </xf>
    <xf numFmtId="0" fontId="41"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6" fillId="7" borderId="0" xfId="0" applyFont="1" applyFill="1" applyBorder="1"/>
    <xf numFmtId="0" fontId="6" fillId="0" borderId="0" xfId="0" applyFont="1" applyFill="1" applyBorder="1" applyAlignment="1">
      <alignment horizontal="right" vertical="top"/>
    </xf>
    <xf numFmtId="0" fontId="28" fillId="0" borderId="0" xfId="0" applyFont="1" applyFill="1" applyBorder="1" applyAlignment="1">
      <alignment horizontal="center" wrapText="1"/>
    </xf>
    <xf numFmtId="0" fontId="28" fillId="3" borderId="9" xfId="0" applyFont="1" applyFill="1" applyBorder="1" applyAlignment="1">
      <alignment horizontal="center"/>
    </xf>
    <xf numFmtId="0" fontId="28" fillId="3" borderId="6" xfId="0" applyFont="1" applyFill="1" applyBorder="1" applyAlignment="1">
      <alignment horizontal="center" wrapText="1"/>
    </xf>
    <xf numFmtId="0" fontId="30" fillId="3" borderId="11" xfId="0" applyFont="1" applyFill="1" applyBorder="1" applyAlignment="1">
      <alignment horizontal="center" vertical="top" wrapText="1"/>
    </xf>
    <xf numFmtId="0" fontId="7" fillId="0" borderId="6" xfId="0" applyFont="1" applyFill="1" applyBorder="1" applyAlignment="1">
      <alignment horizontal="center"/>
    </xf>
    <xf numFmtId="0" fontId="26"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32" fillId="4" borderId="5" xfId="0" quotePrefix="1" applyFont="1" applyFill="1" applyBorder="1" applyAlignment="1">
      <alignment vertical="top"/>
    </xf>
    <xf numFmtId="164" fontId="19" fillId="0" borderId="6" xfId="3" applyNumberFormat="1" applyFont="1" applyFill="1" applyBorder="1" applyAlignment="1">
      <alignment horizontal="right" vertical="top" wrapText="1"/>
    </xf>
    <xf numFmtId="167" fontId="21"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8" fillId="0" borderId="0" xfId="0" applyFont="1" applyFill="1" applyBorder="1" applyAlignment="1">
      <alignment horizontal="center"/>
    </xf>
    <xf numFmtId="0" fontId="30" fillId="0" borderId="0" xfId="0" applyFont="1" applyFill="1" applyBorder="1" applyAlignment="1">
      <alignment horizontal="center" vertical="top" wrapText="1"/>
    </xf>
    <xf numFmtId="0" fontId="26" fillId="0" borderId="0" xfId="0" quotePrefix="1" applyFont="1" applyFill="1" applyBorder="1" applyAlignment="1">
      <alignment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167" fontId="6" fillId="0" borderId="8" xfId="4" applyNumberFormat="1" applyFont="1" applyFill="1" applyBorder="1" applyAlignment="1">
      <alignment vertical="top"/>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0" fontId="0" fillId="0" borderId="0" xfId="0" applyAlignment="1">
      <alignment vertical="top"/>
    </xf>
    <xf numFmtId="165" fontId="48" fillId="0" borderId="0" xfId="0" applyNumberFormat="1" applyFont="1" applyFill="1" applyAlignment="1">
      <alignment horizontal="left" vertical="center"/>
    </xf>
    <xf numFmtId="0" fontId="37" fillId="4" borderId="2" xfId="0" quotePrefix="1" applyFont="1" applyFill="1" applyBorder="1" applyAlignment="1">
      <alignment vertical="top" wrapText="1"/>
    </xf>
    <xf numFmtId="0" fontId="32" fillId="4" borderId="5" xfId="0" quotePrefix="1" applyFont="1" applyFill="1" applyBorder="1" applyAlignment="1">
      <alignment vertical="top" wrapText="1"/>
    </xf>
    <xf numFmtId="0" fontId="20" fillId="0" borderId="0" xfId="0" applyFont="1" applyAlignment="1">
      <alignment horizontal="left" vertical="top" wrapText="1"/>
    </xf>
    <xf numFmtId="0" fontId="6" fillId="0" borderId="0" xfId="17" applyFont="1" applyFill="1" applyAlignment="1">
      <alignment horizontal="left" vertical="top" wrapText="1"/>
    </xf>
    <xf numFmtId="0" fontId="20" fillId="0" borderId="0" xfId="17" applyFont="1" applyFill="1" applyAlignment="1">
      <alignment vertical="top"/>
    </xf>
    <xf numFmtId="2" fontId="20" fillId="0" borderId="0" xfId="17" applyNumberFormat="1" applyFont="1" applyFill="1" applyAlignment="1">
      <alignment vertical="top"/>
    </xf>
    <xf numFmtId="2" fontId="6" fillId="0" borderId="0" xfId="17" applyNumberFormat="1" applyFont="1" applyFill="1" applyAlignment="1">
      <alignment horizontal="center" vertical="top"/>
    </xf>
    <xf numFmtId="3" fontId="6" fillId="0" borderId="0" xfId="17" quotePrefix="1" applyNumberFormat="1" applyFont="1" applyFill="1" applyAlignment="1">
      <alignment horizontal="right" vertical="top" wrapText="1"/>
    </xf>
    <xf numFmtId="0" fontId="7" fillId="0" borderId="0" xfId="17" applyFont="1" applyFill="1" applyBorder="1"/>
    <xf numFmtId="0" fontId="6" fillId="0" borderId="0" xfId="17" applyFont="1" applyFill="1" applyBorder="1"/>
    <xf numFmtId="0" fontId="26" fillId="4" borderId="4" xfId="17" quotePrefix="1" applyFont="1" applyFill="1" applyBorder="1" applyAlignment="1">
      <alignment vertical="top"/>
    </xf>
    <xf numFmtId="0" fontId="26" fillId="4" borderId="2" xfId="17" quotePrefix="1" applyFont="1" applyFill="1" applyBorder="1" applyAlignment="1">
      <alignment vertical="top"/>
    </xf>
    <xf numFmtId="49" fontId="27" fillId="4" borderId="2" xfId="17" quotePrefix="1" applyNumberFormat="1" applyFont="1" applyFill="1" applyBorder="1" applyAlignment="1">
      <alignment vertical="top"/>
    </xf>
    <xf numFmtId="0" fontId="27" fillId="4" borderId="2" xfId="17" quotePrefix="1" applyFont="1" applyFill="1" applyBorder="1" applyAlignment="1">
      <alignment vertical="top"/>
    </xf>
    <xf numFmtId="0" fontId="33" fillId="4" borderId="2" xfId="17" quotePrefix="1" applyFont="1" applyFill="1" applyBorder="1" applyAlignment="1">
      <alignment vertical="top"/>
    </xf>
    <xf numFmtId="0" fontId="34" fillId="4" borderId="2" xfId="17" quotePrefix="1" applyFont="1" applyFill="1" applyBorder="1" applyAlignment="1">
      <alignment vertical="top"/>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6"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32" fillId="4" borderId="0" xfId="4" quotePrefix="1" applyNumberFormat="1" applyFont="1" applyFill="1" applyBorder="1" applyAlignment="1">
      <alignment horizontal="center"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8" fillId="0" borderId="0" xfId="0" applyFont="1" applyFill="1" applyBorder="1" applyAlignment="1">
      <alignment horizontal="center" vertical="top"/>
    </xf>
    <xf numFmtId="0" fontId="28" fillId="0" borderId="0" xfId="0" applyFont="1" applyFill="1" applyBorder="1" applyAlignment="1">
      <alignment horizontal="center" vertical="top" wrapText="1"/>
    </xf>
    <xf numFmtId="167" fontId="6" fillId="0" borderId="8" xfId="4" applyNumberFormat="1" applyFont="1" applyFill="1" applyBorder="1"/>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7" borderId="11" xfId="0" applyFont="1" applyFill="1" applyBorder="1" applyAlignment="1">
      <alignment horizontal="right" vertical="top" wrapText="1"/>
    </xf>
    <xf numFmtId="0" fontId="25" fillId="3" borderId="8" xfId="0" quotePrefix="1" applyFont="1" applyFill="1" applyBorder="1" applyAlignment="1"/>
    <xf numFmtId="49" fontId="28" fillId="3" borderId="14" xfId="0" applyNumberFormat="1" applyFont="1" applyFill="1" applyBorder="1" applyAlignment="1">
      <alignment horizontal="center" vertical="top"/>
    </xf>
    <xf numFmtId="0" fontId="27" fillId="3" borderId="8" xfId="0" applyFont="1" applyFill="1" applyBorder="1" applyAlignment="1">
      <alignment vertical="top"/>
    </xf>
    <xf numFmtId="0" fontId="27" fillId="3" borderId="0" xfId="0" applyFont="1" applyFill="1" applyBorder="1" applyAlignment="1">
      <alignment vertical="top"/>
    </xf>
    <xf numFmtId="0" fontId="28" fillId="3" borderId="0" xfId="0" applyFont="1" applyFill="1" applyBorder="1" applyAlignment="1">
      <alignment horizontal="center" vertical="top" wrapText="1"/>
    </xf>
    <xf numFmtId="0" fontId="28" fillId="3" borderId="6" xfId="0" applyFont="1" applyFill="1" applyBorder="1" applyAlignment="1">
      <alignment horizontal="center"/>
    </xf>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32" fillId="4" borderId="2" xfId="4" quotePrefix="1" applyNumberFormat="1" applyFont="1" applyFill="1" applyBorder="1" applyAlignment="1">
      <alignment horizontal="center" vertical="top"/>
    </xf>
    <xf numFmtId="167" fontId="32"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6"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32" fillId="4" borderId="4" xfId="0" applyFont="1" applyFill="1" applyBorder="1" applyAlignment="1">
      <alignment vertical="top"/>
    </xf>
    <xf numFmtId="0" fontId="32" fillId="4" borderId="12" xfId="0" applyFont="1" applyFill="1" applyBorder="1" applyAlignment="1">
      <alignment horizontal="right" vertical="top"/>
    </xf>
    <xf numFmtId="49" fontId="32" fillId="4" borderId="2" xfId="0" quotePrefix="1" applyNumberFormat="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37" fillId="4" borderId="4" xfId="0" quotePrefix="1" applyFont="1" applyFill="1" applyBorder="1" applyAlignment="1">
      <alignment vertical="top"/>
    </xf>
    <xf numFmtId="167" fontId="32" fillId="4" borderId="12" xfId="4" applyNumberFormat="1" applyFont="1" applyFill="1" applyBorder="1" applyAlignment="1">
      <alignment horizontal="right" vertical="top"/>
    </xf>
    <xf numFmtId="0" fontId="32" fillId="4" borderId="2" xfId="0" quotePrefix="1" applyFont="1" applyFill="1" applyBorder="1" applyAlignment="1">
      <alignment vertical="top"/>
    </xf>
    <xf numFmtId="0" fontId="40" fillId="4" borderId="2" xfId="0" quotePrefix="1" applyFont="1" applyFill="1" applyBorder="1" applyAlignment="1">
      <alignment vertical="top"/>
    </xf>
    <xf numFmtId="0" fontId="41" fillId="4" borderId="2" xfId="0" quotePrefix="1" applyFont="1" applyFill="1" applyBorder="1" applyAlignment="1">
      <alignment vertical="top"/>
    </xf>
    <xf numFmtId="167" fontId="14"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4" fillId="0" borderId="10" xfId="0" quotePrefix="1" applyFont="1" applyFill="1" applyBorder="1" applyAlignment="1">
      <alignment vertical="top"/>
    </xf>
    <xf numFmtId="0" fontId="39" fillId="0" borderId="13" xfId="0" quotePrefix="1" applyFont="1" applyFill="1" applyBorder="1" applyAlignment="1">
      <alignment horizontal="right" vertical="top"/>
    </xf>
    <xf numFmtId="0" fontId="14" fillId="0" borderId="3" xfId="0" quotePrefix="1" applyFont="1" applyFill="1" applyBorder="1" applyAlignment="1">
      <alignment vertical="top"/>
    </xf>
    <xf numFmtId="0" fontId="6" fillId="0" borderId="0" xfId="0" applyFont="1" applyFill="1" applyBorder="1" applyAlignment="1">
      <alignment horizontal="right"/>
    </xf>
    <xf numFmtId="167" fontId="30" fillId="4" borderId="5" xfId="4" quotePrefix="1" applyNumberFormat="1" applyFont="1" applyFill="1" applyBorder="1" applyAlignment="1">
      <alignment horizontal="center" vertical="top"/>
    </xf>
    <xf numFmtId="167" fontId="30"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7" fillId="0" borderId="0" xfId="0" quotePrefix="1" applyFont="1" applyFill="1" applyBorder="1" applyAlignment="1">
      <alignment vertical="top"/>
    </xf>
    <xf numFmtId="0" fontId="14" fillId="0" borderId="0" xfId="0" quotePrefix="1" applyFont="1" applyFill="1" applyBorder="1" applyAlignment="1">
      <alignment vertical="top"/>
    </xf>
    <xf numFmtId="0" fontId="32" fillId="0" borderId="0" xfId="0" quotePrefix="1" applyFont="1" applyFill="1" applyBorder="1" applyAlignment="1">
      <alignment vertical="top"/>
    </xf>
    <xf numFmtId="167" fontId="32" fillId="0" borderId="0" xfId="4" quotePrefix="1" applyNumberFormat="1" applyFont="1" applyFill="1" applyBorder="1" applyAlignment="1">
      <alignment vertical="top"/>
    </xf>
    <xf numFmtId="167" fontId="30"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32" fillId="0" borderId="0" xfId="4" quotePrefix="1" applyNumberFormat="1" applyFont="1" applyFill="1" applyBorder="1" applyAlignment="1">
      <alignment horizontal="center" vertical="top"/>
    </xf>
    <xf numFmtId="0" fontId="37" fillId="4" borderId="2" xfId="0" quotePrefix="1" applyFont="1" applyFill="1" applyBorder="1" applyAlignment="1">
      <alignment horizontal="center" vertical="top"/>
    </xf>
    <xf numFmtId="0" fontId="14" fillId="0" borderId="3" xfId="0" quotePrefix="1" applyFont="1" applyFill="1" applyBorder="1" applyAlignment="1">
      <alignment horizontal="center" vertical="top"/>
    </xf>
    <xf numFmtId="0" fontId="32" fillId="4" borderId="2" xfId="0" quotePrefix="1" applyFont="1" applyFill="1" applyBorder="1" applyAlignment="1">
      <alignment horizontal="center" vertical="top"/>
    </xf>
    <xf numFmtId="0" fontId="6" fillId="0" borderId="6" xfId="0" applyFont="1" applyFill="1" applyBorder="1" applyAlignment="1">
      <alignment horizontal="right"/>
    </xf>
    <xf numFmtId="0" fontId="37" fillId="4" borderId="2" xfId="0" quotePrefix="1" applyFont="1" applyFill="1" applyBorder="1" applyAlignment="1">
      <alignment horizontal="right" vertical="top"/>
    </xf>
    <xf numFmtId="0" fontId="37" fillId="4" borderId="5" xfId="0" quotePrefix="1" applyFont="1" applyFill="1" applyBorder="1" applyAlignment="1">
      <alignment horizontal="right" vertical="top"/>
    </xf>
    <xf numFmtId="0" fontId="14" fillId="0" borderId="3" xfId="0" quotePrefix="1" applyFont="1" applyFill="1" applyBorder="1" applyAlignment="1">
      <alignment horizontal="right" vertical="top"/>
    </xf>
    <xf numFmtId="0" fontId="14" fillId="0" borderId="9" xfId="0" quotePrefix="1" applyFont="1" applyFill="1" applyBorder="1" applyAlignment="1">
      <alignment horizontal="right" vertical="top"/>
    </xf>
    <xf numFmtId="0" fontId="32" fillId="4" borderId="2" xfId="0" quotePrefix="1" applyFont="1" applyFill="1" applyBorder="1" applyAlignment="1">
      <alignment horizontal="right" vertical="top"/>
    </xf>
    <xf numFmtId="0" fontId="32" fillId="4" borderId="5" xfId="0" quotePrefix="1" applyFont="1" applyFill="1" applyBorder="1" applyAlignment="1">
      <alignment horizontal="right" vertical="top"/>
    </xf>
    <xf numFmtId="0" fontId="42"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30" fillId="0" borderId="0" xfId="4" applyNumberFormat="1" applyFont="1" applyFill="1" applyBorder="1" applyAlignment="1">
      <alignment vertical="top"/>
    </xf>
    <xf numFmtId="0" fontId="37" fillId="4" borderId="2" xfId="0" quotePrefix="1" applyFont="1" applyFill="1" applyBorder="1" applyAlignment="1">
      <alignment horizontal="right" vertical="top" wrapText="1"/>
    </xf>
    <xf numFmtId="0" fontId="32" fillId="4" borderId="5" xfId="0" quotePrefix="1" applyFont="1" applyFill="1" applyBorder="1" applyAlignment="1">
      <alignment horizontal="right" vertical="top" wrapText="1"/>
    </xf>
    <xf numFmtId="167" fontId="14"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32" fillId="4" borderId="0" xfId="4" quotePrefix="1" applyNumberFormat="1" applyFont="1" applyFill="1" applyBorder="1" applyAlignment="1">
      <alignment horizontal="center" vertical="top"/>
    </xf>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6"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67" fontId="6" fillId="0" borderId="15"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0" fontId="6" fillId="0" borderId="0"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0" fontId="6" fillId="0" borderId="0" xfId="0" quotePrefix="1" applyFont="1" applyFill="1" applyBorder="1" applyAlignment="1">
      <alignment horizontal="center" vertical="top" wrapText="1"/>
    </xf>
    <xf numFmtId="0" fontId="6" fillId="0" borderId="3" xfId="0" applyFont="1" applyFill="1" applyBorder="1" applyAlignment="1">
      <alignment horizontal="center" vertical="top"/>
    </xf>
    <xf numFmtId="167" fontId="6" fillId="0" borderId="9" xfId="4" applyNumberFormat="1" applyFont="1" applyFill="1" applyBorder="1" applyAlignment="1">
      <alignment horizontal="right" vertical="top" wrapText="1"/>
    </xf>
    <xf numFmtId="167" fontId="37" fillId="4" borderId="13" xfId="4" quotePrefix="1" applyNumberFormat="1" applyFont="1" applyFill="1" applyBorder="1" applyAlignment="1">
      <alignment horizontal="right" vertical="top"/>
    </xf>
    <xf numFmtId="0" fontId="9" fillId="0" borderId="13" xfId="0" quotePrefix="1" applyFont="1" applyFill="1" applyBorder="1" applyAlignment="1">
      <alignment horizontal="right" vertical="top"/>
    </xf>
    <xf numFmtId="0" fontId="16" fillId="0" borderId="3" xfId="3" applyFont="1" applyFill="1" applyBorder="1" applyAlignment="1">
      <alignment horizontal="center" vertical="top"/>
    </xf>
    <xf numFmtId="3" fontId="6" fillId="0" borderId="3" xfId="0" applyNumberFormat="1" applyFont="1" applyFill="1" applyBorder="1" applyAlignment="1">
      <alignment horizontal="center" vertical="top" wrapText="1"/>
    </xf>
    <xf numFmtId="0" fontId="6" fillId="7" borderId="7" xfId="0" applyFont="1" applyFill="1" applyBorder="1" applyAlignment="1">
      <alignment horizontal="left" vertical="top" wrapText="1"/>
    </xf>
    <xf numFmtId="0" fontId="6" fillId="0" borderId="14" xfId="3" applyFont="1" applyFill="1" applyBorder="1" applyAlignment="1">
      <alignment vertical="top" wrapText="1"/>
    </xf>
    <xf numFmtId="167" fontId="14" fillId="4" borderId="5" xfId="4" quotePrefix="1" applyNumberFormat="1" applyFont="1" applyFill="1" applyBorder="1" applyAlignment="1">
      <alignment horizontal="center" vertical="top"/>
    </xf>
    <xf numFmtId="167" fontId="6" fillId="4" borderId="5" xfId="4" quotePrefix="1" applyNumberFormat="1" applyFont="1" applyFill="1" applyBorder="1" applyAlignment="1">
      <alignment horizontal="center" vertical="top"/>
    </xf>
    <xf numFmtId="49" fontId="6" fillId="0" borderId="0" xfId="0" applyNumberFormat="1" applyFont="1" applyFill="1" applyAlignment="1">
      <alignment horizontal="right" vertical="top" wrapText="1"/>
    </xf>
    <xf numFmtId="0" fontId="35" fillId="0" borderId="0" xfId="17" applyFont="1" applyFill="1" applyBorder="1"/>
    <xf numFmtId="0" fontId="35" fillId="0" borderId="0" xfId="17" applyFont="1" applyFill="1" applyBorder="1" applyAlignment="1">
      <alignment horizontal="center" wrapText="1"/>
    </xf>
    <xf numFmtId="0" fontId="6" fillId="0" borderId="10" xfId="2" applyFont="1" applyFill="1" applyBorder="1" applyAlignment="1">
      <alignment vertical="top" wrapText="1"/>
    </xf>
    <xf numFmtId="167" fontId="6" fillId="0" borderId="13" xfId="4" applyNumberFormat="1" applyFont="1" applyFill="1" applyBorder="1" applyAlignment="1">
      <alignment horizontal="right" vertical="top" wrapText="1"/>
    </xf>
    <xf numFmtId="0" fontId="6" fillId="0" borderId="3" xfId="2" applyFont="1" applyFill="1" applyBorder="1" applyAlignment="1">
      <alignment horizontal="center" vertical="top"/>
    </xf>
    <xf numFmtId="1" fontId="6" fillId="0" borderId="3" xfId="2" applyNumberFormat="1" applyFont="1" applyFill="1" applyBorder="1" applyAlignment="1">
      <alignment horizontal="center" vertical="top"/>
    </xf>
    <xf numFmtId="3" fontId="6" fillId="0" borderId="3" xfId="2" applyNumberFormat="1" applyFont="1" applyFill="1" applyBorder="1" applyAlignment="1">
      <alignment horizontal="center" vertical="top"/>
    </xf>
    <xf numFmtId="0" fontId="6" fillId="0" borderId="3" xfId="2" applyFont="1" applyFill="1" applyBorder="1" applyAlignment="1">
      <alignment horizontal="center" vertical="top" wrapText="1"/>
    </xf>
    <xf numFmtId="17" fontId="6" fillId="0" borderId="3" xfId="2" applyNumberFormat="1" applyFont="1" applyFill="1" applyBorder="1" applyAlignment="1">
      <alignment horizontal="center" vertical="top" wrapText="1"/>
    </xf>
    <xf numFmtId="164" fontId="6" fillId="0" borderId="3" xfId="2" applyNumberFormat="1" applyFont="1" applyFill="1" applyBorder="1" applyAlignment="1">
      <alignment horizontal="right" vertical="top" wrapText="1"/>
    </xf>
    <xf numFmtId="164" fontId="6" fillId="0" borderId="9" xfId="2" applyNumberFormat="1" applyFont="1" applyFill="1" applyBorder="1" applyAlignment="1">
      <alignment horizontal="right" vertical="top" wrapText="1"/>
    </xf>
    <xf numFmtId="0" fontId="6" fillId="5" borderId="0" xfId="17" applyFont="1" applyFill="1"/>
    <xf numFmtId="17" fontId="6" fillId="0" borderId="0" xfId="0" applyNumberFormat="1" applyFont="1" applyFill="1" applyBorder="1" applyAlignment="1">
      <alignment horizontal="center" vertical="top"/>
    </xf>
    <xf numFmtId="0" fontId="16" fillId="0" borderId="1" xfId="3" applyFont="1" applyFill="1" applyBorder="1" applyAlignment="1">
      <alignment horizontal="center" vertical="top"/>
    </xf>
    <xf numFmtId="17" fontId="6" fillId="0" borderId="3" xfId="3" applyNumberFormat="1" applyFont="1" applyFill="1" applyBorder="1" applyAlignment="1">
      <alignment horizontal="center" vertical="top" wrapText="1"/>
    </xf>
    <xf numFmtId="0" fontId="6" fillId="7" borderId="8" xfId="0" applyFont="1" applyFill="1" applyBorder="1" applyAlignment="1">
      <alignment vertical="top"/>
    </xf>
    <xf numFmtId="17" fontId="6" fillId="7" borderId="0" xfId="3" applyNumberFormat="1" applyFont="1" applyFill="1" applyBorder="1" applyAlignment="1">
      <alignment horizontal="center" vertical="top" wrapText="1"/>
    </xf>
    <xf numFmtId="167" fontId="6"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1"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167" fontId="6" fillId="7" borderId="0" xfId="4" applyNumberFormat="1" applyFont="1" applyFill="1" applyBorder="1" applyAlignment="1">
      <alignment horizontal="right" wrapText="1"/>
    </xf>
    <xf numFmtId="0" fontId="6" fillId="0" borderId="10" xfId="0" applyFont="1" applyFill="1" applyBorder="1" applyAlignment="1">
      <alignment vertical="top"/>
    </xf>
    <xf numFmtId="0" fontId="6" fillId="0" borderId="7" xfId="2" applyFont="1" applyFill="1" applyBorder="1" applyAlignment="1">
      <alignment vertical="top" wrapText="1"/>
    </xf>
    <xf numFmtId="0" fontId="6" fillId="0" borderId="13" xfId="3" applyFont="1" applyFill="1" applyBorder="1" applyAlignment="1">
      <alignment vertical="top" wrapText="1"/>
    </xf>
    <xf numFmtId="0" fontId="7" fillId="0" borderId="0" xfId="17" quotePrefix="1" applyFont="1" applyFill="1" applyAlignment="1">
      <alignment horizontal="left" vertical="center"/>
    </xf>
    <xf numFmtId="0" fontId="7" fillId="0" borderId="0" xfId="17" applyFont="1" applyFill="1" applyAlignment="1">
      <alignment vertical="center"/>
    </xf>
    <xf numFmtId="167" fontId="6" fillId="0" borderId="0" xfId="4" applyNumberFormat="1" applyFont="1" applyFill="1" applyBorder="1" applyAlignment="1">
      <alignment horizontal="center" vertical="top" wrapText="1"/>
    </xf>
    <xf numFmtId="167" fontId="6" fillId="0" borderId="3" xfId="4" applyNumberFormat="1" applyFont="1" applyFill="1" applyBorder="1" applyAlignment="1">
      <alignment horizontal="right" vertical="top" wrapText="1"/>
    </xf>
    <xf numFmtId="0" fontId="7" fillId="0" borderId="0" xfId="0" applyFont="1" applyFill="1" applyBorder="1" applyAlignment="1">
      <alignment vertical="center"/>
    </xf>
    <xf numFmtId="0" fontId="6" fillId="0" borderId="0" xfId="0" applyFont="1" applyFill="1"/>
    <xf numFmtId="167" fontId="6" fillId="7" borderId="8" xfId="4" quotePrefix="1" applyNumberFormat="1" applyFont="1" applyFill="1" applyBorder="1" applyAlignment="1">
      <alignment horizontal="center" vertical="top"/>
    </xf>
    <xf numFmtId="167" fontId="6" fillId="7" borderId="0" xfId="4" quotePrefix="1" applyNumberFormat="1" applyFont="1" applyFill="1" applyBorder="1" applyAlignment="1">
      <alignment horizontal="center" vertical="top"/>
    </xf>
    <xf numFmtId="167" fontId="6" fillId="7" borderId="6" xfId="4" quotePrefix="1" applyNumberFormat="1" applyFont="1" applyFill="1" applyBorder="1" applyAlignment="1">
      <alignment horizontal="center" vertical="top"/>
    </xf>
    <xf numFmtId="0" fontId="6" fillId="7" borderId="0" xfId="0" quotePrefix="1" applyFont="1" applyFill="1" applyBorder="1" applyAlignment="1">
      <alignment horizontal="center" vertical="top" wrapText="1"/>
    </xf>
    <xf numFmtId="0" fontId="6" fillId="7" borderId="8" xfId="0" applyFont="1" applyFill="1" applyBorder="1" applyAlignment="1">
      <alignment vertical="top" wrapText="1"/>
    </xf>
    <xf numFmtId="167" fontId="6" fillId="7" borderId="14" xfId="4" quotePrefix="1" applyNumberFormat="1" applyFont="1" applyFill="1" applyBorder="1" applyAlignment="1">
      <alignment horizontal="right" vertical="top" wrapText="1"/>
    </xf>
    <xf numFmtId="0" fontId="16" fillId="7" borderId="0" xfId="2" applyFont="1" applyFill="1" applyBorder="1" applyAlignment="1">
      <alignment horizontal="center" vertical="top"/>
    </xf>
    <xf numFmtId="17" fontId="6" fillId="7" borderId="0" xfId="3" quotePrefix="1" applyNumberFormat="1" applyFont="1" applyFill="1" applyBorder="1" applyAlignment="1">
      <alignment horizontal="center" vertical="top" wrapText="1"/>
    </xf>
    <xf numFmtId="167" fontId="6" fillId="7" borderId="0" xfId="4" applyNumberFormat="1" applyFont="1" applyFill="1" applyBorder="1" applyAlignment="1">
      <alignment horizontal="center" vertical="top" wrapText="1"/>
    </xf>
    <xf numFmtId="0" fontId="6" fillId="7" borderId="8" xfId="0" quotePrefix="1" applyFont="1" applyFill="1" applyBorder="1" applyAlignment="1">
      <alignment horizontal="left" vertical="top" wrapText="1"/>
    </xf>
    <xf numFmtId="167" fontId="6" fillId="7" borderId="0" xfId="4" applyNumberFormat="1" applyFont="1" applyFill="1" applyBorder="1" applyAlignment="1">
      <alignment vertical="top"/>
    </xf>
    <xf numFmtId="0" fontId="6" fillId="7" borderId="0" xfId="39" applyFont="1" applyFill="1" applyBorder="1" applyAlignment="1">
      <alignment horizontal="center" vertical="top" wrapText="1"/>
    </xf>
    <xf numFmtId="3" fontId="6" fillId="7" borderId="0" xfId="39" applyNumberFormat="1" applyFont="1" applyFill="1" applyBorder="1" applyAlignment="1">
      <alignment horizontal="center" vertical="top" wrapText="1"/>
    </xf>
    <xf numFmtId="0" fontId="6" fillId="7" borderId="7" xfId="0" quotePrefix="1" applyFont="1" applyFill="1" applyBorder="1" applyAlignment="1">
      <alignment horizontal="left" vertical="top" wrapText="1"/>
    </xf>
    <xf numFmtId="17" fontId="6" fillId="7" borderId="1" xfId="3" applyNumberFormat="1" applyFont="1" applyFill="1" applyBorder="1" applyAlignment="1">
      <alignment horizontal="center" vertical="top" wrapText="1"/>
    </xf>
    <xf numFmtId="167" fontId="6" fillId="7" borderId="11" xfId="4" applyNumberFormat="1" applyFont="1" applyFill="1" applyBorder="1" applyAlignment="1">
      <alignment horizontal="right" vertical="top" wrapText="1"/>
    </xf>
    <xf numFmtId="0" fontId="6" fillId="7" borderId="8" xfId="3" applyFont="1" applyFill="1" applyBorder="1" applyAlignment="1">
      <alignment vertical="top" wrapText="1"/>
    </xf>
    <xf numFmtId="169" fontId="6" fillId="0" borderId="0" xfId="17" applyNumberFormat="1" applyFont="1" applyFill="1" applyBorder="1" applyAlignment="1">
      <alignment horizontal="center"/>
    </xf>
    <xf numFmtId="169" fontId="6" fillId="0" borderId="0" xfId="17" applyNumberFormat="1" applyFont="1" applyFill="1" applyAlignment="1">
      <alignment horizontal="center" vertical="top" wrapText="1"/>
    </xf>
    <xf numFmtId="0" fontId="7" fillId="0" borderId="0" xfId="17" applyFont="1" applyFill="1" applyAlignment="1">
      <alignment horizontal="left" vertical="top" wrapText="1"/>
    </xf>
    <xf numFmtId="169" fontId="7" fillId="0" borderId="0" xfId="17"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0" fontId="6" fillId="7" borderId="14" xfId="4" applyNumberFormat="1" applyFont="1" applyFill="1" applyBorder="1" applyAlignment="1">
      <alignment horizontal="right" vertical="top" wrapText="1"/>
    </xf>
    <xf numFmtId="0" fontId="6" fillId="7" borderId="8" xfId="0" quotePrefix="1" applyFont="1" applyFill="1" applyBorder="1" applyAlignment="1">
      <alignment vertical="top"/>
    </xf>
    <xf numFmtId="0" fontId="6" fillId="0" borderId="0" xfId="43"/>
    <xf numFmtId="0" fontId="6" fillId="0" borderId="0" xfId="43" applyFont="1" applyFill="1"/>
    <xf numFmtId="0" fontId="6" fillId="0" borderId="0" xfId="43" applyFont="1" applyFill="1" applyBorder="1" applyAlignment="1">
      <alignment vertical="top" wrapText="1"/>
    </xf>
    <xf numFmtId="0" fontId="6" fillId="0" borderId="0" xfId="43" applyFont="1" applyFill="1" applyAlignment="1">
      <alignment vertical="top" wrapText="1"/>
    </xf>
    <xf numFmtId="0" fontId="24" fillId="0" borderId="0" xfId="43" applyFont="1"/>
    <xf numFmtId="0" fontId="6" fillId="0" borderId="0" xfId="43" applyFont="1" applyFill="1" applyAlignment="1">
      <alignment vertical="center"/>
    </xf>
    <xf numFmtId="0" fontId="6" fillId="0" borderId="0" xfId="43" quotePrefix="1" applyFont="1" applyFill="1" applyAlignment="1">
      <alignment horizontal="left" vertical="center"/>
    </xf>
    <xf numFmtId="167" fontId="7" fillId="0" borderId="0" xfId="4" applyNumberFormat="1" applyFont="1" applyFill="1" applyBorder="1" applyAlignment="1">
      <alignment horizontal="right" vertical="top" wrapText="1"/>
    </xf>
    <xf numFmtId="0" fontId="7" fillId="0" borderId="8" xfId="0" applyFont="1" applyFill="1" applyBorder="1" applyAlignment="1">
      <alignment vertical="top" wrapText="1"/>
    </xf>
    <xf numFmtId="167" fontId="7" fillId="7" borderId="0" xfId="4" applyNumberFormat="1" applyFont="1" applyFill="1" applyBorder="1" applyAlignment="1">
      <alignment horizontal="right" vertical="top" wrapText="1"/>
    </xf>
    <xf numFmtId="0" fontId="7" fillId="7" borderId="8" xfId="0" applyFont="1" applyFill="1" applyBorder="1" applyAlignment="1">
      <alignment horizontal="left" vertical="top" wrapText="1"/>
    </xf>
    <xf numFmtId="167" fontId="7" fillId="0" borderId="6" xfId="4" applyNumberFormat="1" applyFont="1" applyFill="1" applyBorder="1" applyAlignment="1">
      <alignment horizontal="right" vertical="top" wrapText="1"/>
    </xf>
    <xf numFmtId="17" fontId="7" fillId="7" borderId="0" xfId="3" quotePrefix="1" applyNumberFormat="1" applyFont="1" applyFill="1" applyBorder="1" applyAlignment="1">
      <alignment horizontal="center" vertical="top" wrapText="1"/>
    </xf>
    <xf numFmtId="17" fontId="7" fillId="7" borderId="0" xfId="3" applyNumberFormat="1" applyFont="1" applyFill="1" applyBorder="1" applyAlignment="1">
      <alignment horizontal="center" vertical="top" wrapText="1"/>
    </xf>
    <xf numFmtId="0" fontId="7" fillId="7" borderId="8" xfId="0" quotePrefix="1" applyFont="1" applyFill="1" applyBorder="1" applyAlignment="1">
      <alignment horizontal="left" vertical="top" wrapText="1"/>
    </xf>
    <xf numFmtId="0" fontId="7" fillId="0" borderId="7" xfId="0" applyFont="1" applyFill="1" applyBorder="1" applyAlignment="1">
      <alignment horizontal="justify" vertical="top" wrapText="1"/>
    </xf>
    <xf numFmtId="17" fontId="7" fillId="0" borderId="1" xfId="3" applyNumberFormat="1" applyFont="1" applyFill="1" applyBorder="1" applyAlignment="1">
      <alignment horizontal="center" vertical="top" wrapText="1"/>
    </xf>
    <xf numFmtId="0" fontId="7" fillId="7" borderId="8" xfId="39" quotePrefix="1" applyFont="1" applyFill="1" applyBorder="1" applyAlignment="1">
      <alignment horizontal="left" vertical="top" wrapText="1"/>
    </xf>
    <xf numFmtId="17" fontId="7" fillId="0" borderId="0" xfId="2" applyNumberFormat="1" applyFont="1" applyFill="1" applyBorder="1" applyAlignment="1">
      <alignment horizontal="center" vertical="top" wrapText="1"/>
    </xf>
    <xf numFmtId="0" fontId="7" fillId="0" borderId="14" xfId="0" quotePrefix="1" applyFont="1" applyFill="1" applyBorder="1" applyAlignment="1">
      <alignment horizontal="left" vertical="top" wrapText="1"/>
    </xf>
    <xf numFmtId="167" fontId="7" fillId="7" borderId="6" xfId="4" applyNumberFormat="1" applyFont="1" applyFill="1" applyBorder="1" applyAlignment="1">
      <alignment horizontal="right" vertical="top" wrapText="1"/>
    </xf>
    <xf numFmtId="0" fontId="7" fillId="0" borderId="8" xfId="0" quotePrefix="1" applyFont="1" applyFill="1" applyBorder="1" applyAlignment="1">
      <alignment horizontal="left" vertical="top" wrapText="1"/>
    </xf>
    <xf numFmtId="0" fontId="7" fillId="0" borderId="14" xfId="0" applyFont="1" applyFill="1" applyBorder="1" applyAlignment="1">
      <alignment vertical="top" wrapText="1"/>
    </xf>
    <xf numFmtId="0" fontId="7" fillId="0" borderId="8" xfId="0" applyFont="1" applyFill="1" applyBorder="1" applyAlignment="1">
      <alignment horizontal="left" vertical="top" wrapText="1"/>
    </xf>
    <xf numFmtId="169" fontId="6" fillId="0" borderId="0" xfId="17" applyNumberFormat="1" applyFont="1" applyFill="1" applyBorder="1" applyAlignment="1">
      <alignment horizontal="center" vertical="top" wrapText="1"/>
    </xf>
    <xf numFmtId="0" fontId="7" fillId="0" borderId="0" xfId="0" applyFont="1" applyFill="1" applyBorder="1" applyAlignment="1">
      <alignment vertical="top" wrapText="1"/>
    </xf>
    <xf numFmtId="169" fontId="7" fillId="0" borderId="0" xfId="17" applyNumberFormat="1" applyFont="1" applyFill="1" applyBorder="1" applyAlignment="1">
      <alignment horizontal="center"/>
    </xf>
    <xf numFmtId="0" fontId="7" fillId="0" borderId="8" xfId="0" applyFont="1" applyFill="1" applyBorder="1" applyAlignment="1">
      <alignment horizontal="justify" vertical="top" wrapText="1"/>
    </xf>
    <xf numFmtId="167" fontId="7" fillId="7" borderId="0" xfId="4" applyNumberFormat="1" applyFont="1" applyFill="1" applyBorder="1" applyAlignment="1">
      <alignment horizontal="center" vertical="top"/>
    </xf>
    <xf numFmtId="167" fontId="6" fillId="0" borderId="3" xfId="4" applyNumberFormat="1" applyFont="1" applyFill="1" applyBorder="1" applyAlignment="1">
      <alignment horizontal="center" vertical="top"/>
    </xf>
    <xf numFmtId="167" fontId="6" fillId="0" borderId="9" xfId="4" applyNumberFormat="1" applyFont="1" applyFill="1" applyBorder="1" applyAlignment="1">
      <alignment horizontal="center" vertical="top"/>
    </xf>
    <xf numFmtId="167" fontId="14" fillId="0" borderId="8" xfId="4" quotePrefix="1" applyNumberFormat="1" applyFont="1" applyFill="1" applyBorder="1" applyAlignment="1">
      <alignment horizontal="center" vertical="top"/>
    </xf>
    <xf numFmtId="167" fontId="14" fillId="0" borderId="6" xfId="4" quotePrefix="1" applyNumberFormat="1" applyFont="1" applyFill="1" applyBorder="1" applyAlignment="1">
      <alignment horizontal="center" vertical="top"/>
    </xf>
    <xf numFmtId="167" fontId="14" fillId="0" borderId="10" xfId="4" quotePrefix="1" applyNumberFormat="1" applyFont="1" applyFill="1" applyBorder="1" applyAlignment="1">
      <alignment horizontal="center" vertical="top"/>
    </xf>
    <xf numFmtId="167" fontId="14" fillId="0" borderId="3" xfId="4" quotePrefix="1" applyNumberFormat="1" applyFont="1" applyFill="1" applyBorder="1" applyAlignment="1">
      <alignment horizontal="center" vertical="top"/>
    </xf>
    <xf numFmtId="167" fontId="14" fillId="0" borderId="9" xfId="4" quotePrefix="1" applyNumberFormat="1" applyFont="1" applyFill="1" applyBorder="1" applyAlignment="1">
      <alignment horizontal="center" vertical="top"/>
    </xf>
    <xf numFmtId="0" fontId="7" fillId="0" borderId="8" xfId="18" quotePrefix="1" applyFont="1" applyFill="1" applyBorder="1" applyAlignment="1">
      <alignment horizontal="left" vertical="top" wrapText="1"/>
    </xf>
    <xf numFmtId="0" fontId="6" fillId="0" borderId="0" xfId="0" applyFont="1" applyFill="1" applyBorder="1" applyAlignment="1">
      <alignment horizontal="left" vertical="top" wrapText="1"/>
    </xf>
    <xf numFmtId="0" fontId="7" fillId="0" borderId="0" xfId="3" applyFont="1" applyFill="1" applyBorder="1" applyAlignment="1">
      <alignment horizontal="center" vertical="top" wrapText="1"/>
    </xf>
    <xf numFmtId="17" fontId="7" fillId="0" borderId="0" xfId="3" applyNumberFormat="1" applyFont="1" applyFill="1" applyBorder="1" applyAlignment="1">
      <alignment horizontal="center" vertical="top" wrapText="1"/>
    </xf>
    <xf numFmtId="0" fontId="6" fillId="5" borderId="0" xfId="0" applyFont="1" applyFill="1" applyBorder="1"/>
    <xf numFmtId="0" fontId="6" fillId="5" borderId="0" xfId="0" applyFont="1" applyFill="1"/>
    <xf numFmtId="0" fontId="7" fillId="0" borderId="8" xfId="3" applyFont="1" applyFill="1" applyBorder="1" applyAlignment="1">
      <alignment vertical="top" wrapText="1"/>
    </xf>
    <xf numFmtId="0" fontId="6" fillId="0" borderId="0" xfId="40" applyFont="1" applyFill="1" applyBorder="1" applyAlignment="1">
      <alignment horizontal="center" vertical="top" wrapText="1"/>
    </xf>
    <xf numFmtId="167" fontId="6" fillId="0" borderId="0" xfId="4" applyNumberFormat="1" applyFont="1" applyFill="1" applyBorder="1" applyAlignment="1">
      <alignment horizontal="right" wrapText="1"/>
    </xf>
    <xf numFmtId="0" fontId="6" fillId="0" borderId="6" xfId="0" applyFont="1" applyFill="1" applyBorder="1" applyAlignment="1">
      <alignment horizontal="right" wrapText="1"/>
    </xf>
    <xf numFmtId="0" fontId="7" fillId="5" borderId="0" xfId="0" applyFont="1" applyFill="1" applyBorder="1"/>
    <xf numFmtId="0" fontId="7" fillId="0" borderId="0" xfId="0" applyFont="1" applyFill="1" applyBorder="1" applyAlignment="1">
      <alignment horizontal="center" vertical="top" wrapText="1"/>
    </xf>
    <xf numFmtId="0" fontId="7" fillId="7" borderId="0" xfId="17" applyFont="1" applyFill="1" applyBorder="1" applyAlignment="1">
      <alignment horizontal="center" vertical="top" wrapText="1"/>
    </xf>
    <xf numFmtId="0" fontId="6" fillId="0" borderId="10" xfId="0" quotePrefix="1" applyFont="1" applyFill="1" applyBorder="1" applyAlignment="1">
      <alignment vertical="top"/>
    </xf>
    <xf numFmtId="0" fontId="49" fillId="0" borderId="0" xfId="0" applyFont="1" applyFill="1" applyBorder="1"/>
    <xf numFmtId="17" fontId="7" fillId="7" borderId="0" xfId="2" applyNumberFormat="1" applyFont="1" applyFill="1" applyBorder="1" applyAlignment="1">
      <alignment horizontal="center" vertical="top" wrapText="1"/>
    </xf>
    <xf numFmtId="0" fontId="6" fillId="7" borderId="0" xfId="0" applyFont="1" applyFill="1" applyBorder="1" applyAlignment="1">
      <alignment vertical="top" wrapText="1"/>
    </xf>
    <xf numFmtId="169" fontId="6" fillId="7" borderId="0" xfId="17" applyNumberFormat="1" applyFont="1" applyFill="1" applyBorder="1" applyAlignment="1">
      <alignment horizontal="center"/>
    </xf>
    <xf numFmtId="0" fontId="6" fillId="7" borderId="0" xfId="17" applyFont="1" applyFill="1" applyBorder="1"/>
    <xf numFmtId="0" fontId="6" fillId="7" borderId="0" xfId="17" applyFont="1" applyFill="1" applyAlignment="1">
      <alignment horizontal="left" vertical="top" wrapText="1"/>
    </xf>
    <xf numFmtId="169" fontId="6" fillId="7" borderId="0" xfId="17" applyNumberFormat="1" applyFont="1" applyFill="1" applyAlignment="1">
      <alignment horizontal="center" vertical="top" wrapText="1"/>
    </xf>
    <xf numFmtId="0" fontId="20" fillId="7" borderId="0" xfId="17" applyFont="1" applyFill="1" applyAlignment="1">
      <alignment vertical="top"/>
    </xf>
    <xf numFmtId="2" fontId="20" fillId="7" borderId="0" xfId="17" applyNumberFormat="1" applyFont="1" applyFill="1" applyAlignment="1">
      <alignment vertical="top"/>
    </xf>
    <xf numFmtId="2" fontId="6" fillId="7" borderId="0" xfId="17" applyNumberFormat="1" applyFont="1" applyFill="1" applyAlignment="1">
      <alignment horizontal="center" vertical="top"/>
    </xf>
    <xf numFmtId="17" fontId="6" fillId="7" borderId="0" xfId="3" applyNumberFormat="1" applyFont="1" applyFill="1" applyAlignment="1">
      <alignment horizontal="right" vertical="top" wrapText="1"/>
    </xf>
    <xf numFmtId="3" fontId="6" fillId="7" borderId="0" xfId="17" quotePrefix="1" applyNumberFormat="1" applyFont="1" applyFill="1" applyAlignment="1">
      <alignment horizontal="right" vertical="top" wrapText="1"/>
    </xf>
    <xf numFmtId="3" fontId="6" fillId="7" borderId="0" xfId="17" applyNumberFormat="1" applyFont="1" applyFill="1" applyAlignment="1">
      <alignment horizontal="right" vertical="top" wrapText="1"/>
    </xf>
    <xf numFmtId="0" fontId="6" fillId="7" borderId="0" xfId="0" applyFont="1" applyFill="1" applyBorder="1" applyAlignment="1">
      <alignment vertical="top"/>
    </xf>
    <xf numFmtId="169" fontId="6" fillId="7" borderId="0" xfId="17" applyNumberFormat="1" applyFont="1" applyFill="1" applyBorder="1" applyAlignment="1">
      <alignment horizontal="center" vertical="top" wrapText="1"/>
    </xf>
    <xf numFmtId="0" fontId="7" fillId="7" borderId="0" xfId="0" applyFont="1" applyFill="1" applyBorder="1" applyAlignment="1">
      <alignment vertical="top"/>
    </xf>
    <xf numFmtId="169" fontId="7" fillId="7" borderId="0" xfId="17" applyNumberFormat="1" applyFont="1" applyFill="1" applyBorder="1" applyAlignment="1">
      <alignment horizontal="center" vertical="top" wrapText="1"/>
    </xf>
    <xf numFmtId="0" fontId="7" fillId="7" borderId="8" xfId="0" applyFont="1" applyFill="1" applyBorder="1" applyAlignment="1">
      <alignment vertical="top" wrapText="1"/>
    </xf>
    <xf numFmtId="167" fontId="7" fillId="7" borderId="6" xfId="4" applyNumberFormat="1" applyFont="1" applyFill="1" applyBorder="1" applyAlignment="1">
      <alignment horizontal="center" vertical="top"/>
    </xf>
    <xf numFmtId="167" fontId="6" fillId="0" borderId="0" xfId="4" applyNumberFormat="1" applyFont="1" applyFill="1" applyBorder="1" applyAlignment="1">
      <alignment horizontal="right" vertical="top"/>
    </xf>
    <xf numFmtId="0" fontId="6" fillId="0" borderId="1" xfId="0" applyFont="1" applyFill="1" applyBorder="1" applyAlignment="1">
      <alignment horizontal="right"/>
    </xf>
    <xf numFmtId="167" fontId="6" fillId="7" borderId="7" xfId="4" applyNumberFormat="1" applyFont="1" applyFill="1" applyBorder="1" applyAlignment="1">
      <alignment vertical="top"/>
    </xf>
    <xf numFmtId="167" fontId="6" fillId="7" borderId="1" xfId="4" applyNumberFormat="1" applyFont="1" applyFill="1" applyBorder="1" applyAlignment="1">
      <alignment vertical="top"/>
    </xf>
    <xf numFmtId="167" fontId="6" fillId="7" borderId="11" xfId="4" applyNumberFormat="1" applyFont="1" applyFill="1" applyBorder="1" applyAlignment="1">
      <alignment vertical="top"/>
    </xf>
    <xf numFmtId="167" fontId="6" fillId="7" borderId="8" xfId="4" applyNumberFormat="1" applyFont="1" applyFill="1" applyBorder="1"/>
    <xf numFmtId="167" fontId="7" fillId="7" borderId="1" xfId="4" applyNumberFormat="1" applyFont="1" applyFill="1" applyBorder="1" applyAlignment="1">
      <alignment horizontal="center" vertical="top"/>
    </xf>
    <xf numFmtId="0" fontId="5" fillId="7" borderId="8" xfId="38" applyFont="1" applyFill="1" applyBorder="1" applyAlignment="1">
      <alignment vertical="top" wrapText="1"/>
    </xf>
    <xf numFmtId="0" fontId="6" fillId="7" borderId="7" xfId="0" applyFont="1" applyFill="1" applyBorder="1" applyAlignment="1">
      <alignment vertical="top" wrapText="1"/>
    </xf>
    <xf numFmtId="167" fontId="6" fillId="7" borderId="1" xfId="4" applyNumberFormat="1" applyFont="1" applyFill="1" applyBorder="1" applyAlignment="1">
      <alignment horizontal="right"/>
    </xf>
    <xf numFmtId="0" fontId="6" fillId="7" borderId="14" xfId="0" quotePrefix="1" applyFont="1" applyFill="1" applyBorder="1" applyAlignment="1">
      <alignment horizontal="left" vertical="top" wrapText="1"/>
    </xf>
    <xf numFmtId="0" fontId="7" fillId="7" borderId="14" xfId="0" applyFont="1" applyFill="1" applyBorder="1" applyAlignment="1">
      <alignment vertical="top" wrapText="1"/>
    </xf>
    <xf numFmtId="0" fontId="6" fillId="7" borderId="14" xfId="0" applyFont="1" applyFill="1" applyBorder="1" applyAlignment="1">
      <alignment vertical="top" wrapText="1"/>
    </xf>
    <xf numFmtId="0" fontId="7" fillId="7" borderId="14" xfId="0" quotePrefix="1" applyFont="1" applyFill="1" applyBorder="1" applyAlignment="1">
      <alignment horizontal="left" vertical="top" wrapText="1"/>
    </xf>
    <xf numFmtId="167" fontId="6" fillId="7" borderId="6" xfId="4" quotePrefix="1" applyNumberFormat="1" applyFont="1" applyFill="1" applyBorder="1" applyAlignment="1">
      <alignment horizontal="right" vertical="top" wrapText="1"/>
    </xf>
    <xf numFmtId="0" fontId="6" fillId="7" borderId="7" xfId="0" applyFont="1" applyFill="1" applyBorder="1"/>
    <xf numFmtId="167" fontId="6" fillId="7" borderId="15" xfId="4" quotePrefix="1" applyNumberFormat="1" applyFont="1" applyFill="1" applyBorder="1" applyAlignment="1">
      <alignment horizontal="right" vertical="top" wrapText="1"/>
    </xf>
    <xf numFmtId="0" fontId="6" fillId="7" borderId="0" xfId="3" applyFont="1" applyFill="1" applyBorder="1" applyAlignment="1">
      <alignment horizontal="center" vertical="top"/>
    </xf>
    <xf numFmtId="3" fontId="6" fillId="7" borderId="0" xfId="3" applyNumberFormat="1" applyFont="1" applyFill="1" applyBorder="1" applyAlignment="1">
      <alignment horizontal="center" vertical="top"/>
    </xf>
    <xf numFmtId="0" fontId="7" fillId="7" borderId="8" xfId="0" applyFont="1" applyFill="1" applyBorder="1"/>
    <xf numFmtId="0" fontId="6" fillId="7" borderId="0" xfId="0" applyFont="1" applyFill="1" applyBorder="1" applyAlignment="1">
      <alignment horizontal="center"/>
    </xf>
    <xf numFmtId="0" fontId="7" fillId="7" borderId="7" xfId="0" applyFont="1" applyFill="1" applyBorder="1"/>
    <xf numFmtId="0" fontId="6" fillId="7" borderId="1" xfId="0" applyFont="1" applyFill="1" applyBorder="1" applyAlignment="1">
      <alignment horizontal="center"/>
    </xf>
    <xf numFmtId="167" fontId="6" fillId="7" borderId="1" xfId="4" applyNumberFormat="1" applyFont="1" applyFill="1" applyBorder="1" applyAlignment="1">
      <alignment horizontal="right" wrapText="1"/>
    </xf>
    <xf numFmtId="0" fontId="6" fillId="7" borderId="11" xfId="0" applyFont="1" applyFill="1" applyBorder="1" applyAlignment="1">
      <alignment horizontal="right" wrapText="1"/>
    </xf>
    <xf numFmtId="0" fontId="6" fillId="7" borderId="14" xfId="3" applyFont="1" applyFill="1" applyBorder="1" applyAlignment="1">
      <alignment vertical="top" wrapText="1"/>
    </xf>
    <xf numFmtId="0" fontId="6" fillId="7" borderId="0" xfId="40" applyFont="1" applyFill="1" applyBorder="1" applyAlignment="1">
      <alignment horizontal="center" vertical="top" wrapText="1"/>
    </xf>
    <xf numFmtId="0" fontId="6" fillId="7" borderId="14" xfId="0" applyFont="1" applyFill="1" applyBorder="1"/>
    <xf numFmtId="167" fontId="7" fillId="7" borderId="14" xfId="4" quotePrefix="1" applyNumberFormat="1" applyFont="1" applyFill="1" applyBorder="1" applyAlignment="1">
      <alignment horizontal="right" vertical="top" wrapText="1"/>
    </xf>
    <xf numFmtId="0" fontId="7" fillId="0" borderId="14" xfId="4" quotePrefix="1" applyNumberFormat="1" applyFont="1" applyFill="1" applyBorder="1" applyAlignment="1">
      <alignment horizontal="right" vertical="top" wrapText="1"/>
    </xf>
    <xf numFmtId="0" fontId="6" fillId="0" borderId="14" xfId="4" quotePrefix="1" applyNumberFormat="1" applyFont="1" applyFill="1" applyBorder="1" applyAlignment="1">
      <alignment horizontal="right" vertical="top" wrapText="1"/>
    </xf>
    <xf numFmtId="0" fontId="7" fillId="7" borderId="8" xfId="3" applyFont="1" applyFill="1" applyBorder="1" applyAlignment="1">
      <alignment vertical="top" wrapText="1"/>
    </xf>
    <xf numFmtId="0" fontId="7" fillId="7" borderId="0" xfId="17" applyFont="1" applyFill="1" applyAlignment="1">
      <alignment horizontal="left" vertical="top" wrapText="1"/>
    </xf>
    <xf numFmtId="0" fontId="7" fillId="0" borderId="0" xfId="0" applyFont="1" applyFill="1" applyBorder="1" applyAlignment="1">
      <alignment vertical="top"/>
    </xf>
    <xf numFmtId="49" fontId="7" fillId="0" borderId="0" xfId="0" quotePrefix="1" applyNumberFormat="1" applyFont="1" applyFill="1" applyAlignment="1">
      <alignment horizontal="right" vertical="top" wrapText="1"/>
    </xf>
    <xf numFmtId="49" fontId="7" fillId="0" borderId="0" xfId="0" applyNumberFormat="1" applyFont="1" applyFill="1" applyAlignment="1">
      <alignment horizontal="right" vertical="top" wrapText="1"/>
    </xf>
    <xf numFmtId="0" fontId="6" fillId="0" borderId="3" xfId="0" applyFont="1" applyFill="1" applyBorder="1" applyAlignment="1">
      <alignment horizontal="left"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8" fillId="3" borderId="10" xfId="0" applyFont="1" applyFill="1" applyBorder="1" applyAlignment="1">
      <alignment horizontal="center" vertical="top"/>
    </xf>
    <xf numFmtId="0" fontId="28" fillId="3" borderId="3" xfId="0" applyFont="1" applyFill="1" applyBorder="1" applyAlignment="1">
      <alignment horizontal="center" vertical="top"/>
    </xf>
    <xf numFmtId="0" fontId="28" fillId="3" borderId="9" xfId="0"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0" borderId="0" xfId="0" applyFont="1" applyFill="1" applyAlignment="1">
      <alignment horizontal="left" vertical="top" wrapText="1"/>
    </xf>
    <xf numFmtId="0" fontId="6" fillId="0" borderId="0" xfId="0" applyFont="1" applyFill="1" applyAlignment="1">
      <alignment horizontal="left" wrapText="1"/>
    </xf>
    <xf numFmtId="0" fontId="6" fillId="0" borderId="0" xfId="0"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7" fillId="0" borderId="0" xfId="0" applyFont="1" applyFill="1" applyAlignment="1">
      <alignment horizontal="left" wrapText="1"/>
    </xf>
    <xf numFmtId="0" fontId="13" fillId="0" borderId="2" xfId="2" applyFont="1" applyFill="1" applyBorder="1" applyAlignment="1">
      <alignment horizontal="left" vertical="top" wrapText="1"/>
    </xf>
    <xf numFmtId="0" fontId="9" fillId="0" borderId="0" xfId="0" applyFont="1" applyFill="1" applyBorder="1" applyAlignment="1">
      <alignment horizontal="left" vertical="top" wrapText="1"/>
    </xf>
    <xf numFmtId="0" fontId="7" fillId="0" borderId="0" xfId="17" quotePrefix="1" applyFont="1" applyFill="1" applyAlignment="1">
      <alignment horizontal="left" vertical="center"/>
    </xf>
    <xf numFmtId="0" fontId="6" fillId="0" borderId="0" xfId="17" applyNumberFormat="1" applyFill="1" applyAlignment="1">
      <alignment wrapText="1"/>
    </xf>
    <xf numFmtId="0" fontId="6" fillId="0" borderId="0" xfId="17" applyFill="1" applyAlignment="1">
      <alignment wrapText="1"/>
    </xf>
    <xf numFmtId="0" fontId="25"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CCFFCC"/>
      <color rgb="FFFFCCFF"/>
      <color rgb="FFFFFF99"/>
      <color rgb="FF053470"/>
      <color rgb="FF8DCD47"/>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4033838" y="2590799"/>
          <a:ext cx="4314804"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oneCellAnchor>
    <xdr:from>
      <xdr:col>0</xdr:col>
      <xdr:colOff>47611</xdr:colOff>
      <xdr:row>0</xdr:row>
      <xdr:rowOff>23805</xdr:rowOff>
    </xdr:from>
    <xdr:ext cx="19019520" cy="14264640"/>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11" y="23805"/>
          <a:ext cx="19019520" cy="14264640"/>
        </a:xfrm>
        <a:prstGeom prst="rect">
          <a:avLst/>
        </a:prstGeom>
      </xdr:spPr>
    </xdr:pic>
    <xdr:clientData/>
  </xdr:oneCellAnchor>
  <xdr:twoCellAnchor>
    <xdr:from>
      <xdr:col>0</xdr:col>
      <xdr:colOff>166718</xdr:colOff>
      <xdr:row>5</xdr:row>
      <xdr:rowOff>166682</xdr:rowOff>
    </xdr:from>
    <xdr:to>
      <xdr:col>10</xdr:col>
      <xdr:colOff>238142</xdr:colOff>
      <xdr:row>10</xdr:row>
      <xdr:rowOff>642934</xdr:rowOff>
    </xdr:to>
    <xdr:sp macro="" textlink="">
      <xdr:nvSpPr>
        <xdr:cNvPr id="4" name="McK Date"/>
        <xdr:cNvSpPr txBox="1">
          <a:spLocks noChangeArrowheads="1"/>
        </xdr:cNvSpPr>
      </xdr:nvSpPr>
      <xdr:spPr bwMode="gray">
        <a:xfrm>
          <a:off x="166718" y="976307"/>
          <a:ext cx="6167424" cy="809627"/>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chemeClr val="bg1"/>
              </a:solidFill>
              <a:latin typeface="+mn-lt"/>
              <a:cs typeface="Arial" panose="020B0604020202020204" pitchFamily="34" charset="0"/>
            </a:rPr>
            <a:t>Fleet Status Report</a:t>
          </a:r>
        </a:p>
        <a:p>
          <a:pPr algn="ctr"/>
          <a:r>
            <a:rPr lang="en-US" altLang="zh-CN" sz="3600" b="1">
              <a:solidFill>
                <a:schemeClr val="bg1"/>
              </a:solidFill>
            </a:rPr>
            <a:t>October 26, 2015</a:t>
          </a:r>
        </a:p>
      </xdr:txBody>
    </xdr:sp>
    <xdr:clientData/>
  </xdr:twoCellAnchor>
  <xdr:twoCellAnchor>
    <xdr:from>
      <xdr:col>14</xdr:col>
      <xdr:colOff>476266</xdr:colOff>
      <xdr:row>14</xdr:row>
      <xdr:rowOff>1857374</xdr:rowOff>
    </xdr:from>
    <xdr:to>
      <xdr:col>25</xdr:col>
      <xdr:colOff>432451</xdr:colOff>
      <xdr:row>16</xdr:row>
      <xdr:rowOff>95249</xdr:rowOff>
    </xdr:to>
    <xdr:sp macro="" textlink="">
      <xdr:nvSpPr>
        <xdr:cNvPr id="5" name="TextBox 4"/>
        <xdr:cNvSpPr txBox="1"/>
      </xdr:nvSpPr>
      <xdr:spPr>
        <a:xfrm>
          <a:off x="9010666" y="2428874"/>
          <a:ext cx="666178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000" b="1">
              <a:solidFill>
                <a:schemeClr val="bg1"/>
              </a:solidFill>
            </a:rPr>
            <a:t>Transocean</a:t>
          </a:r>
          <a:r>
            <a:rPr lang="en-US" sz="3000" b="1" baseline="0">
              <a:solidFill>
                <a:schemeClr val="bg1"/>
              </a:solidFill>
            </a:rPr>
            <a:t> Ltd. (NYSE: RIG), (SIX: RIGN)</a:t>
          </a:r>
          <a:endParaRPr lang="en-US" sz="30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b="1">
              <a:effectLst/>
              <a:latin typeface="Arial" panose="020B0604020202020204" pitchFamily="34" charset="0"/>
              <a:ea typeface="+mn-ea"/>
              <a:cs typeface="Arial" panose="020B0604020202020204" pitchFamily="34" charset="0"/>
            </a:rPr>
            <a:t>Fleet Classifications.</a:t>
          </a:r>
          <a:r>
            <a:rPr lang="en-US" sz="1200">
              <a:effectLst/>
              <a:latin typeface="Arial" panose="020B0604020202020204" pitchFamily="34" charset="0"/>
              <a:ea typeface="+mn-ea"/>
              <a:cs typeface="Arial" panose="020B0604020202020204" pitchFamily="34" charset="0"/>
            </a:rPr>
            <a:t> Transocean uses classifications for its drillships, semisubmersibles, and jackup rigs. The classifications reflect the company’s strategic focus on the ownership and operations of premium, high- specification units and are as follows: “Ultra-Deepwater” are the latest generation of drillships and semisubmersible rigs and are capable of drilling in water depths equal to or greater than 7,500 feet; “Deepwater” rigs are drillships and semisubmersible rigs capable of drilling in water depths equal to or greater than 4,500 feet and less than 7,500 feet; “Harsh Environment” are premium rigs equipped for year-round operations in harsh environments; “Midwater Floaters” are semisubmersible rigs capable of drilling in water depths up to 4,499 feet; and "High-Specification Jackups" are high‑performance, independent cantilever jackup rigs that are capable of  drilling in water depths of 350’ or greater.</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election activeCell="AG12" sqref="AG12"/>
    </sheetView>
  </sheetViews>
  <sheetFormatPr defaultRowHeight="12.75" x14ac:dyDescent="0.2"/>
  <cols>
    <col min="1" max="10" width="12.7109375" style="420" customWidth="1"/>
    <col min="11" max="11" width="14.5703125" style="420" customWidth="1"/>
    <col min="12" max="12" width="13.28515625" style="420" customWidth="1"/>
    <col min="13" max="16384" width="9.140625" style="420"/>
  </cols>
  <sheetData>
    <row r="8" spans="1:17" ht="54.75" customHeight="1" x14ac:dyDescent="0.2"/>
    <row r="11" spans="1:17" ht="219.95" customHeight="1" x14ac:dyDescent="0.2">
      <c r="A11" s="421" t="s">
        <v>43</v>
      </c>
      <c r="B11" s="421"/>
      <c r="C11" s="426"/>
      <c r="D11" s="421"/>
      <c r="E11" s="421"/>
      <c r="F11" s="421"/>
      <c r="G11" s="421"/>
      <c r="H11" s="421"/>
      <c r="I11" s="421"/>
      <c r="J11" s="421"/>
      <c r="K11" s="421"/>
      <c r="L11" s="421"/>
    </row>
    <row r="12" spans="1:17" ht="409.5" customHeight="1" x14ac:dyDescent="0.35">
      <c r="A12" s="421"/>
      <c r="B12" s="421"/>
      <c r="C12" s="425"/>
      <c r="D12" s="421"/>
      <c r="E12" s="421"/>
      <c r="F12" s="421"/>
      <c r="G12" s="421"/>
      <c r="H12" s="421"/>
      <c r="I12" s="421"/>
      <c r="J12" s="421"/>
      <c r="K12" s="421"/>
      <c r="L12" s="421"/>
      <c r="Q12" s="424"/>
    </row>
    <row r="13" spans="1:17" ht="58.5" customHeight="1" x14ac:dyDescent="0.2">
      <c r="A13" s="423"/>
      <c r="B13" s="423"/>
      <c r="C13" s="423"/>
      <c r="D13" s="423"/>
      <c r="E13" s="423"/>
      <c r="F13" s="423"/>
      <c r="G13" s="423"/>
      <c r="H13" s="423"/>
      <c r="I13" s="423"/>
      <c r="J13" s="423"/>
      <c r="K13" s="423"/>
      <c r="L13" s="423"/>
    </row>
    <row r="14" spans="1:17" ht="58.5" customHeight="1" x14ac:dyDescent="0.2">
      <c r="A14" s="423"/>
      <c r="B14" s="423"/>
      <c r="C14" s="423"/>
      <c r="D14" s="423"/>
      <c r="E14" s="423"/>
      <c r="F14" s="423"/>
      <c r="G14" s="423"/>
      <c r="H14" s="422"/>
      <c r="I14" s="422"/>
      <c r="J14" s="422"/>
      <c r="K14" s="422"/>
      <c r="L14" s="422"/>
    </row>
    <row r="15" spans="1:17" ht="181.5" customHeight="1" x14ac:dyDescent="0.2">
      <c r="A15" s="423"/>
      <c r="B15" s="423"/>
      <c r="C15" s="423"/>
      <c r="D15" s="423"/>
      <c r="E15" s="423"/>
      <c r="F15" s="423"/>
      <c r="G15" s="423"/>
      <c r="H15" s="422"/>
      <c r="I15" s="422"/>
      <c r="J15" s="422"/>
      <c r="K15" s="422"/>
      <c r="L15" s="422"/>
    </row>
    <row r="16" spans="1:17" x14ac:dyDescent="0.2">
      <c r="A16" s="421"/>
      <c r="B16" s="421"/>
      <c r="C16" s="421"/>
      <c r="D16" s="421"/>
      <c r="E16" s="421"/>
      <c r="F16" s="421"/>
      <c r="G16" s="421"/>
      <c r="H16" s="421"/>
      <c r="I16" s="421"/>
      <c r="J16" s="421"/>
      <c r="K16" s="421"/>
      <c r="L16" s="421"/>
    </row>
  </sheetData>
  <pageMargins left="0.75" right="0.5" top="0.5" bottom="0.5" header="0.5" footer="0.5"/>
  <pageSetup scale="44"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W191"/>
  <sheetViews>
    <sheetView zoomScale="90" zoomScaleNormal="90" zoomScaleSheetLayoutView="85" workbookViewId="0">
      <pane xSplit="1" ySplit="8" topLeftCell="B9" activePane="bottomRight" state="frozen"/>
      <selection activeCell="H153" sqref="H153"/>
      <selection pane="topRight" activeCell="H153" sqref="H153"/>
      <selection pane="bottomLeft" activeCell="H153" sqref="H153"/>
      <selection pane="bottomRight" activeCell="B9" sqref="B9"/>
    </sheetView>
  </sheetViews>
  <sheetFormatPr defaultRowHeight="12.75" x14ac:dyDescent="0.2"/>
  <cols>
    <col min="1" max="1" width="31.85546875" style="7" customWidth="1"/>
    <col min="2" max="2" width="19" style="7" customWidth="1"/>
    <col min="3" max="3" width="14.85546875" style="7" customWidth="1"/>
    <col min="4" max="4" width="17.42578125" style="7" customWidth="1"/>
    <col min="5" max="5" width="15.85546875" style="7" customWidth="1"/>
    <col min="6" max="6" width="15.140625" style="7" customWidth="1"/>
    <col min="7" max="7" width="18" style="7" customWidth="1"/>
    <col min="8" max="8" width="15" style="7" customWidth="1"/>
    <col min="9" max="9" width="18.7109375" style="7" customWidth="1"/>
    <col min="10" max="10" width="16.85546875" style="7" customWidth="1"/>
    <col min="11" max="11" width="10.7109375" style="7" customWidth="1"/>
    <col min="12" max="12" width="12" style="7" customWidth="1"/>
    <col min="13" max="13" width="12.140625" style="7" customWidth="1"/>
    <col min="14" max="14" width="2.7109375" style="243" customWidth="1"/>
    <col min="15" max="18" width="11.7109375" style="7" customWidth="1"/>
    <col min="19" max="19" width="3.140625" style="243" customWidth="1"/>
    <col min="20" max="23" width="11.7109375" style="7" customWidth="1"/>
    <col min="24" max="16384" width="9.140625" style="395"/>
  </cols>
  <sheetData>
    <row r="1" spans="1:23" ht="41.25" customHeight="1" x14ac:dyDescent="0.2">
      <c r="C1" s="34"/>
      <c r="E1" s="36"/>
      <c r="F1" s="36"/>
      <c r="H1" s="35"/>
    </row>
    <row r="2" spans="1:23" ht="13.5" customHeight="1" x14ac:dyDescent="0.2">
      <c r="A2" s="246" t="s">
        <v>247</v>
      </c>
      <c r="B2" s="177"/>
      <c r="C2" s="175"/>
      <c r="K2" s="37"/>
      <c r="L2" s="37"/>
    </row>
    <row r="3" spans="1:23" ht="16.5" customHeight="1" x14ac:dyDescent="0.2">
      <c r="A3" s="526" t="s">
        <v>163</v>
      </c>
      <c r="B3" s="526"/>
      <c r="C3" s="527"/>
      <c r="D3" s="527"/>
      <c r="E3" s="527"/>
      <c r="F3" s="527"/>
      <c r="G3" s="527"/>
      <c r="H3" s="527"/>
      <c r="I3" s="527"/>
      <c r="J3" s="527"/>
      <c r="K3" s="527"/>
      <c r="L3" s="527"/>
      <c r="M3" s="527"/>
      <c r="N3" s="394"/>
    </row>
    <row r="4" spans="1:23" x14ac:dyDescent="0.2">
      <c r="A4" s="528" t="s">
        <v>74</v>
      </c>
      <c r="B4" s="528"/>
      <c r="C4" s="528"/>
      <c r="D4" s="528"/>
      <c r="E4" s="528"/>
      <c r="F4" s="528"/>
      <c r="G4" s="528"/>
      <c r="H4" s="528"/>
      <c r="I4" s="528"/>
      <c r="J4" s="528"/>
      <c r="K4" s="528"/>
      <c r="L4" s="528"/>
      <c r="M4" s="528"/>
      <c r="N4" s="394"/>
    </row>
    <row r="5" spans="1:23" s="243" customFormat="1" ht="15.75" x14ac:dyDescent="0.25">
      <c r="A5" s="50"/>
      <c r="B5" s="77"/>
      <c r="C5" s="133"/>
      <c r="D5" s="52"/>
      <c r="E5" s="53"/>
      <c r="F5" s="54"/>
      <c r="G5" s="54"/>
      <c r="H5" s="55"/>
      <c r="I5" s="55"/>
      <c r="J5" s="54"/>
      <c r="K5" s="54"/>
      <c r="L5" s="54" t="s">
        <v>72</v>
      </c>
      <c r="M5" s="153" t="s">
        <v>72</v>
      </c>
      <c r="N5" s="166"/>
      <c r="O5" s="529" t="s">
        <v>183</v>
      </c>
      <c r="P5" s="530"/>
      <c r="Q5" s="530"/>
      <c r="R5" s="531"/>
      <c r="S5" s="222"/>
      <c r="T5" s="529" t="s">
        <v>183</v>
      </c>
      <c r="U5" s="530"/>
      <c r="V5" s="530"/>
      <c r="W5" s="531"/>
    </row>
    <row r="6" spans="1:23" s="243" customFormat="1" ht="15.75" x14ac:dyDescent="0.25">
      <c r="A6" s="231"/>
      <c r="B6" s="232"/>
      <c r="C6" s="233"/>
      <c r="D6" s="234"/>
      <c r="E6" s="235" t="s">
        <v>103</v>
      </c>
      <c r="F6" s="58" t="s">
        <v>16</v>
      </c>
      <c r="G6" s="58" t="s">
        <v>99</v>
      </c>
      <c r="H6" s="57"/>
      <c r="I6" s="57"/>
      <c r="J6" s="58" t="s">
        <v>53</v>
      </c>
      <c r="K6" s="58" t="s">
        <v>53</v>
      </c>
      <c r="L6" s="58" t="s">
        <v>203</v>
      </c>
      <c r="M6" s="236" t="s">
        <v>205</v>
      </c>
      <c r="N6" s="166"/>
      <c r="O6" s="227"/>
      <c r="P6" s="228"/>
      <c r="Q6" s="228"/>
      <c r="R6" s="229"/>
      <c r="S6" s="222"/>
      <c r="T6" s="227"/>
      <c r="U6" s="228"/>
      <c r="V6" s="228"/>
      <c r="W6" s="229"/>
    </row>
    <row r="7" spans="1:23" s="243" customFormat="1" ht="14.25" customHeight="1" x14ac:dyDescent="0.2">
      <c r="A7" s="51"/>
      <c r="B7" s="78" t="s">
        <v>107</v>
      </c>
      <c r="C7" s="134" t="s">
        <v>46</v>
      </c>
      <c r="D7" s="56" t="s">
        <v>100</v>
      </c>
      <c r="E7" s="56" t="s">
        <v>52</v>
      </c>
      <c r="F7" s="56" t="s">
        <v>17</v>
      </c>
      <c r="G7" s="56" t="s">
        <v>17</v>
      </c>
      <c r="H7" s="57"/>
      <c r="I7" s="57"/>
      <c r="J7" s="58" t="s">
        <v>101</v>
      </c>
      <c r="K7" s="58" t="s">
        <v>105</v>
      </c>
      <c r="L7" s="63" t="s">
        <v>204</v>
      </c>
      <c r="M7" s="154" t="s">
        <v>204</v>
      </c>
      <c r="N7" s="152"/>
      <c r="O7" s="532">
        <v>2015</v>
      </c>
      <c r="P7" s="533"/>
      <c r="Q7" s="533"/>
      <c r="R7" s="534"/>
      <c r="S7" s="222"/>
      <c r="T7" s="532">
        <v>2016</v>
      </c>
      <c r="U7" s="533"/>
      <c r="V7" s="533"/>
      <c r="W7" s="534"/>
    </row>
    <row r="8" spans="1:23" s="243" customFormat="1" ht="13.5" customHeight="1" x14ac:dyDescent="0.2">
      <c r="A8" s="62" t="s">
        <v>15</v>
      </c>
      <c r="B8" s="79" t="s">
        <v>108</v>
      </c>
      <c r="C8" s="135" t="s">
        <v>47</v>
      </c>
      <c r="D8" s="136" t="s">
        <v>102</v>
      </c>
      <c r="E8" s="59" t="s">
        <v>18</v>
      </c>
      <c r="F8" s="60" t="s">
        <v>54</v>
      </c>
      <c r="G8" s="60" t="s">
        <v>54</v>
      </c>
      <c r="H8" s="61" t="s">
        <v>24</v>
      </c>
      <c r="I8" s="61" t="s">
        <v>66</v>
      </c>
      <c r="J8" s="59" t="s">
        <v>104</v>
      </c>
      <c r="K8" s="59" t="s">
        <v>106</v>
      </c>
      <c r="L8" s="60" t="s">
        <v>55</v>
      </c>
      <c r="M8" s="155" t="s">
        <v>55</v>
      </c>
      <c r="N8" s="167"/>
      <c r="O8" s="125" t="s">
        <v>169</v>
      </c>
      <c r="P8" s="64" t="s">
        <v>170</v>
      </c>
      <c r="Q8" s="64" t="s">
        <v>171</v>
      </c>
      <c r="R8" s="65" t="s">
        <v>168</v>
      </c>
      <c r="S8" s="223"/>
      <c r="T8" s="125" t="s">
        <v>169</v>
      </c>
      <c r="U8" s="64" t="s">
        <v>170</v>
      </c>
      <c r="V8" s="64" t="s">
        <v>171</v>
      </c>
      <c r="W8" s="65" t="s">
        <v>168</v>
      </c>
    </row>
    <row r="9" spans="1:23" s="243" customFormat="1" ht="9" customHeight="1" x14ac:dyDescent="0.2">
      <c r="A9" s="101"/>
      <c r="B9" s="76"/>
      <c r="C9" s="4"/>
      <c r="D9" s="38"/>
      <c r="E9" s="4"/>
      <c r="F9" s="4"/>
      <c r="G9" s="4"/>
      <c r="H9" s="4"/>
      <c r="I9" s="4"/>
      <c r="J9" s="4"/>
      <c r="K9" s="4"/>
      <c r="L9" s="4"/>
      <c r="M9" s="156"/>
      <c r="N9" s="4"/>
      <c r="O9" s="126"/>
      <c r="P9" s="31"/>
      <c r="Q9" s="31"/>
      <c r="R9" s="149"/>
      <c r="S9" s="244"/>
      <c r="T9" s="126"/>
      <c r="U9" s="31"/>
      <c r="V9" s="31"/>
      <c r="W9" s="149"/>
    </row>
    <row r="10" spans="1:23" s="243" customFormat="1" ht="15" x14ac:dyDescent="0.2">
      <c r="A10" s="140" t="s">
        <v>216</v>
      </c>
      <c r="B10" s="98"/>
      <c r="C10" s="75"/>
      <c r="D10" s="66"/>
      <c r="E10" s="67"/>
      <c r="F10" s="66"/>
      <c r="G10" s="66"/>
      <c r="H10" s="66"/>
      <c r="I10" s="66"/>
      <c r="J10" s="66"/>
      <c r="K10" s="66"/>
      <c r="L10" s="66"/>
      <c r="M10" s="157"/>
      <c r="N10" s="168"/>
      <c r="O10" s="69"/>
      <c r="P10" s="68"/>
      <c r="Q10" s="68"/>
      <c r="R10" s="74"/>
      <c r="S10" s="305"/>
      <c r="T10" s="225"/>
      <c r="U10" s="219"/>
      <c r="V10" s="219"/>
      <c r="W10" s="226"/>
    </row>
    <row r="11" spans="1:23" s="243" customFormat="1" ht="6" customHeight="1" x14ac:dyDescent="0.2">
      <c r="A11" s="211"/>
      <c r="B11" s="212"/>
      <c r="C11" s="213"/>
      <c r="D11" s="214"/>
      <c r="E11" s="213"/>
      <c r="F11" s="213"/>
      <c r="G11" s="213"/>
      <c r="H11" s="213"/>
      <c r="I11" s="213"/>
      <c r="J11" s="213"/>
      <c r="K11" s="213"/>
      <c r="L11" s="213"/>
      <c r="M11" s="215"/>
      <c r="N11" s="4"/>
      <c r="O11" s="216"/>
      <c r="P11" s="217"/>
      <c r="Q11" s="217"/>
      <c r="R11" s="218"/>
      <c r="S11" s="253"/>
      <c r="T11" s="172"/>
      <c r="U11" s="43"/>
      <c r="V11" s="43"/>
      <c r="W11" s="113"/>
    </row>
    <row r="12" spans="1:23" s="243" customFormat="1" ht="14.25" customHeight="1" x14ac:dyDescent="0.2">
      <c r="A12" s="443" t="s">
        <v>191</v>
      </c>
      <c r="B12" s="276" t="s">
        <v>174</v>
      </c>
      <c r="C12" s="248" t="s">
        <v>44</v>
      </c>
      <c r="D12" s="264" t="s">
        <v>51</v>
      </c>
      <c r="E12" s="248" t="s">
        <v>56</v>
      </c>
      <c r="F12" s="250">
        <v>12000</v>
      </c>
      <c r="G12" s="250">
        <v>40000</v>
      </c>
      <c r="H12" s="467" t="s">
        <v>25</v>
      </c>
      <c r="I12" s="104" t="s">
        <v>31</v>
      </c>
      <c r="J12" s="438">
        <v>42361</v>
      </c>
      <c r="K12" s="438">
        <v>46010</v>
      </c>
      <c r="L12" s="255">
        <v>519000</v>
      </c>
      <c r="M12" s="158" t="s">
        <v>37</v>
      </c>
      <c r="N12" s="132"/>
      <c r="O12" s="318"/>
      <c r="P12" s="242"/>
      <c r="Q12" s="242"/>
      <c r="R12" s="327"/>
      <c r="S12" s="242"/>
      <c r="T12" s="318"/>
      <c r="U12" s="242"/>
      <c r="V12" s="242"/>
      <c r="W12" s="327"/>
    </row>
    <row r="13" spans="1:23" s="243" customFormat="1" ht="14.25" customHeight="1" x14ac:dyDescent="0.2">
      <c r="A13" s="202" t="s">
        <v>192</v>
      </c>
      <c r="B13" s="335" t="s">
        <v>174</v>
      </c>
      <c r="C13" s="336" t="s">
        <v>44</v>
      </c>
      <c r="D13" s="337" t="s">
        <v>51</v>
      </c>
      <c r="E13" s="336" t="s">
        <v>56</v>
      </c>
      <c r="F13" s="338">
        <v>12000</v>
      </c>
      <c r="G13" s="338">
        <v>40000</v>
      </c>
      <c r="H13" s="336" t="s">
        <v>56</v>
      </c>
      <c r="I13" s="200" t="s">
        <v>31</v>
      </c>
      <c r="J13" s="200" t="s">
        <v>234</v>
      </c>
      <c r="K13" s="200" t="s">
        <v>176</v>
      </c>
      <c r="L13" s="386">
        <v>519000</v>
      </c>
      <c r="M13" s="201" t="s">
        <v>37</v>
      </c>
      <c r="N13" s="132"/>
      <c r="O13" s="340"/>
      <c r="P13" s="341"/>
      <c r="Q13" s="341"/>
      <c r="R13" s="342"/>
      <c r="S13" s="242"/>
      <c r="T13" s="340"/>
      <c r="U13" s="341"/>
      <c r="V13" s="341"/>
      <c r="W13" s="342"/>
    </row>
    <row r="14" spans="1:23" s="243" customFormat="1" ht="14.25" customHeight="1" x14ac:dyDescent="0.2">
      <c r="A14" s="443" t="s">
        <v>193</v>
      </c>
      <c r="B14" s="276" t="s">
        <v>174</v>
      </c>
      <c r="C14" s="248" t="s">
        <v>44</v>
      </c>
      <c r="D14" s="264" t="s">
        <v>51</v>
      </c>
      <c r="E14" s="248" t="s">
        <v>56</v>
      </c>
      <c r="F14" s="250">
        <v>12000</v>
      </c>
      <c r="G14" s="250">
        <v>40000</v>
      </c>
      <c r="H14" s="248" t="s">
        <v>56</v>
      </c>
      <c r="I14" s="104" t="s">
        <v>31</v>
      </c>
      <c r="J14" s="438" t="s">
        <v>248</v>
      </c>
      <c r="K14" s="438" t="s">
        <v>249</v>
      </c>
      <c r="L14" s="255">
        <v>519000</v>
      </c>
      <c r="M14" s="158" t="s">
        <v>37</v>
      </c>
      <c r="N14" s="132"/>
      <c r="O14" s="318"/>
      <c r="P14" s="242"/>
      <c r="Q14" s="242"/>
      <c r="R14" s="327"/>
      <c r="S14" s="242"/>
      <c r="T14" s="318"/>
      <c r="U14" s="242"/>
      <c r="V14" s="242"/>
      <c r="W14" s="327"/>
    </row>
    <row r="15" spans="1:23" s="243" customFormat="1" ht="14.25" customHeight="1" x14ac:dyDescent="0.2">
      <c r="A15" s="430" t="s">
        <v>194</v>
      </c>
      <c r="B15" s="335" t="s">
        <v>174</v>
      </c>
      <c r="C15" s="336" t="s">
        <v>44</v>
      </c>
      <c r="D15" s="337" t="s">
        <v>51</v>
      </c>
      <c r="E15" s="336" t="s">
        <v>56</v>
      </c>
      <c r="F15" s="338">
        <v>12000</v>
      </c>
      <c r="G15" s="338">
        <v>40000</v>
      </c>
      <c r="H15" s="336" t="s">
        <v>56</v>
      </c>
      <c r="I15" s="200" t="s">
        <v>31</v>
      </c>
      <c r="J15" s="471" t="s">
        <v>250</v>
      </c>
      <c r="K15" s="471" t="s">
        <v>251</v>
      </c>
      <c r="L15" s="339">
        <v>519000</v>
      </c>
      <c r="M15" s="201" t="s">
        <v>37</v>
      </c>
      <c r="N15" s="132"/>
      <c r="O15" s="340"/>
      <c r="P15" s="341"/>
      <c r="Q15" s="341"/>
      <c r="R15" s="342"/>
      <c r="S15" s="242"/>
      <c r="T15" s="340"/>
      <c r="U15" s="341"/>
      <c r="V15" s="341"/>
      <c r="W15" s="342"/>
    </row>
    <row r="16" spans="1:23" s="5" customFormat="1" ht="14.25" customHeight="1" x14ac:dyDescent="0.2">
      <c r="A16" s="443" t="s">
        <v>195</v>
      </c>
      <c r="B16" s="276" t="s">
        <v>187</v>
      </c>
      <c r="C16" s="248" t="s">
        <v>44</v>
      </c>
      <c r="D16" s="264" t="s">
        <v>51</v>
      </c>
      <c r="E16" s="248" t="s">
        <v>56</v>
      </c>
      <c r="F16" s="250">
        <v>12000</v>
      </c>
      <c r="G16" s="250">
        <v>40000</v>
      </c>
      <c r="H16" s="248" t="s">
        <v>25</v>
      </c>
      <c r="I16" s="104" t="s">
        <v>50</v>
      </c>
      <c r="J16" s="104" t="s">
        <v>186</v>
      </c>
      <c r="K16" s="104" t="s">
        <v>188</v>
      </c>
      <c r="L16" s="427">
        <v>589000</v>
      </c>
      <c r="M16" s="158" t="s">
        <v>37</v>
      </c>
      <c r="N16" s="132"/>
      <c r="O16" s="318"/>
      <c r="P16" s="242"/>
      <c r="Q16" s="242"/>
      <c r="R16" s="327"/>
      <c r="S16" s="242"/>
      <c r="T16" s="318"/>
      <c r="U16" s="242"/>
      <c r="V16" s="242"/>
      <c r="W16" s="327"/>
    </row>
    <row r="17" spans="1:23" s="243" customFormat="1" ht="14.25" customHeight="1" x14ac:dyDescent="0.2">
      <c r="A17" s="202" t="s">
        <v>202</v>
      </c>
      <c r="B17" s="335">
        <v>-9</v>
      </c>
      <c r="C17" s="336" t="s">
        <v>44</v>
      </c>
      <c r="D17" s="337" t="s">
        <v>51</v>
      </c>
      <c r="E17" s="336" t="s">
        <v>56</v>
      </c>
      <c r="F17" s="338">
        <v>12000</v>
      </c>
      <c r="G17" s="338">
        <v>40000</v>
      </c>
      <c r="H17" s="336" t="s">
        <v>56</v>
      </c>
      <c r="I17" s="200"/>
      <c r="J17" s="200"/>
      <c r="K17" s="200"/>
      <c r="L17" s="339"/>
      <c r="M17" s="201"/>
      <c r="N17" s="132"/>
      <c r="O17" s="340"/>
      <c r="P17" s="341"/>
      <c r="Q17" s="341"/>
      <c r="R17" s="342"/>
      <c r="S17" s="242"/>
      <c r="T17" s="340"/>
      <c r="U17" s="341"/>
      <c r="V17" s="341"/>
      <c r="W17" s="342"/>
    </row>
    <row r="18" spans="1:23" s="243" customFormat="1" ht="14.25" customHeight="1" x14ac:dyDescent="0.2">
      <c r="A18" s="114" t="s">
        <v>201</v>
      </c>
      <c r="B18" s="276">
        <v>-9</v>
      </c>
      <c r="C18" s="248" t="s">
        <v>44</v>
      </c>
      <c r="D18" s="264" t="s">
        <v>51</v>
      </c>
      <c r="E18" s="248" t="s">
        <v>56</v>
      </c>
      <c r="F18" s="250">
        <v>12000</v>
      </c>
      <c r="G18" s="250">
        <v>40000</v>
      </c>
      <c r="H18" s="248" t="s">
        <v>56</v>
      </c>
      <c r="I18" s="104"/>
      <c r="J18" s="104"/>
      <c r="K18" s="104"/>
      <c r="L18" s="255"/>
      <c r="M18" s="158"/>
      <c r="N18" s="132"/>
      <c r="O18" s="318"/>
      <c r="P18" s="242"/>
      <c r="Q18" s="242"/>
      <c r="R18" s="327"/>
      <c r="S18" s="242"/>
      <c r="T18" s="318"/>
      <c r="U18" s="242"/>
      <c r="V18" s="242"/>
      <c r="W18" s="327"/>
    </row>
    <row r="19" spans="1:23" s="243" customFormat="1" ht="14.25" customHeight="1" x14ac:dyDescent="0.2">
      <c r="A19" s="202" t="s">
        <v>217</v>
      </c>
      <c r="B19" s="335">
        <v>-12</v>
      </c>
      <c r="C19" s="336"/>
      <c r="D19" s="337"/>
      <c r="E19" s="336" t="s">
        <v>56</v>
      </c>
      <c r="F19" s="338">
        <v>400</v>
      </c>
      <c r="G19" s="338">
        <v>35000</v>
      </c>
      <c r="H19" s="336" t="s">
        <v>56</v>
      </c>
      <c r="I19" s="200"/>
      <c r="J19" s="200"/>
      <c r="K19" s="200"/>
      <c r="L19" s="339"/>
      <c r="M19" s="201"/>
      <c r="N19" s="132"/>
      <c r="O19" s="340"/>
      <c r="P19" s="341"/>
      <c r="Q19" s="341"/>
      <c r="R19" s="342"/>
      <c r="S19" s="242"/>
      <c r="T19" s="340"/>
      <c r="U19" s="341"/>
      <c r="V19" s="341"/>
      <c r="W19" s="342"/>
    </row>
    <row r="20" spans="1:23" s="243" customFormat="1" ht="14.25" customHeight="1" x14ac:dyDescent="0.2">
      <c r="A20" s="114" t="s">
        <v>218</v>
      </c>
      <c r="B20" s="276">
        <v>-12</v>
      </c>
      <c r="C20" s="248"/>
      <c r="D20" s="264"/>
      <c r="E20" s="248" t="s">
        <v>56</v>
      </c>
      <c r="F20" s="250">
        <v>400</v>
      </c>
      <c r="G20" s="250">
        <v>35000</v>
      </c>
      <c r="H20" s="248" t="s">
        <v>56</v>
      </c>
      <c r="I20" s="104"/>
      <c r="J20" s="104"/>
      <c r="K20" s="104"/>
      <c r="L20" s="255"/>
      <c r="M20" s="158"/>
      <c r="N20" s="132"/>
      <c r="O20" s="318"/>
      <c r="P20" s="242"/>
      <c r="Q20" s="242"/>
      <c r="R20" s="327"/>
      <c r="S20" s="242"/>
      <c r="T20" s="318"/>
      <c r="U20" s="242"/>
      <c r="V20" s="242"/>
      <c r="W20" s="327"/>
    </row>
    <row r="21" spans="1:23" s="243" customFormat="1" ht="14.25" customHeight="1" x14ac:dyDescent="0.2">
      <c r="A21" s="202" t="s">
        <v>219</v>
      </c>
      <c r="B21" s="335">
        <v>-12</v>
      </c>
      <c r="C21" s="336"/>
      <c r="D21" s="337"/>
      <c r="E21" s="336" t="s">
        <v>56</v>
      </c>
      <c r="F21" s="338">
        <v>400</v>
      </c>
      <c r="G21" s="338">
        <v>35000</v>
      </c>
      <c r="H21" s="336" t="s">
        <v>56</v>
      </c>
      <c r="I21" s="200"/>
      <c r="J21" s="200"/>
      <c r="K21" s="200"/>
      <c r="L21" s="339"/>
      <c r="M21" s="201"/>
      <c r="N21" s="132"/>
      <c r="O21" s="340"/>
      <c r="P21" s="341"/>
      <c r="Q21" s="341"/>
      <c r="R21" s="342"/>
      <c r="S21" s="242"/>
      <c r="T21" s="340"/>
      <c r="U21" s="341"/>
      <c r="V21" s="341"/>
      <c r="W21" s="342"/>
    </row>
    <row r="22" spans="1:23" s="243" customFormat="1" ht="14.25" customHeight="1" x14ac:dyDescent="0.2">
      <c r="A22" s="114" t="s">
        <v>220</v>
      </c>
      <c r="B22" s="276">
        <v>-12</v>
      </c>
      <c r="C22" s="248"/>
      <c r="D22" s="264"/>
      <c r="E22" s="248" t="s">
        <v>56</v>
      </c>
      <c r="F22" s="250">
        <v>400</v>
      </c>
      <c r="G22" s="250">
        <v>35000</v>
      </c>
      <c r="H22" s="248" t="s">
        <v>56</v>
      </c>
      <c r="I22" s="104"/>
      <c r="J22" s="104"/>
      <c r="K22" s="104"/>
      <c r="L22" s="255"/>
      <c r="M22" s="158"/>
      <c r="N22" s="132"/>
      <c r="O22" s="318"/>
      <c r="P22" s="242"/>
      <c r="Q22" s="242"/>
      <c r="R22" s="327"/>
      <c r="S22" s="242"/>
      <c r="T22" s="318"/>
      <c r="U22" s="242"/>
      <c r="V22" s="242"/>
      <c r="W22" s="327"/>
    </row>
    <row r="23" spans="1:23" s="243" customFormat="1" ht="14.25" customHeight="1" x14ac:dyDescent="0.2">
      <c r="A23" s="360" t="s">
        <v>221</v>
      </c>
      <c r="B23" s="199">
        <v>-12</v>
      </c>
      <c r="C23" s="203"/>
      <c r="D23" s="204"/>
      <c r="E23" s="203" t="s">
        <v>56</v>
      </c>
      <c r="F23" s="205">
        <v>400</v>
      </c>
      <c r="G23" s="205">
        <v>35000</v>
      </c>
      <c r="H23" s="203" t="s">
        <v>56</v>
      </c>
      <c r="I23" s="210"/>
      <c r="J23" s="210"/>
      <c r="K23" s="210"/>
      <c r="L23" s="206"/>
      <c r="M23" s="230"/>
      <c r="N23" s="132"/>
      <c r="O23" s="207"/>
      <c r="P23" s="208"/>
      <c r="Q23" s="208"/>
      <c r="R23" s="209"/>
      <c r="S23" s="242"/>
      <c r="T23" s="207"/>
      <c r="U23" s="208"/>
      <c r="V23" s="208"/>
      <c r="W23" s="209"/>
    </row>
    <row r="24" spans="1:23" s="243" customFormat="1" ht="6" customHeight="1" x14ac:dyDescent="0.2">
      <c r="A24" s="263"/>
      <c r="B24" s="277"/>
      <c r="C24" s="326"/>
      <c r="D24" s="326"/>
      <c r="E24" s="326"/>
      <c r="F24" s="326"/>
      <c r="G24" s="326"/>
      <c r="H24" s="326"/>
      <c r="I24" s="326"/>
      <c r="J24" s="326"/>
      <c r="K24" s="326"/>
      <c r="L24" s="294"/>
      <c r="M24" s="309"/>
      <c r="N24" s="326"/>
      <c r="O24" s="319"/>
      <c r="P24" s="254"/>
      <c r="Q24" s="254"/>
      <c r="R24" s="266"/>
      <c r="S24" s="242"/>
      <c r="T24" s="318"/>
      <c r="U24" s="242"/>
      <c r="V24" s="242"/>
      <c r="W24" s="327"/>
    </row>
    <row r="25" spans="1:23" s="5" customFormat="1" ht="15" x14ac:dyDescent="0.2">
      <c r="A25" s="278" t="s">
        <v>228</v>
      </c>
      <c r="B25" s="279"/>
      <c r="C25" s="280"/>
      <c r="D25" s="281"/>
      <c r="E25" s="282"/>
      <c r="F25" s="281"/>
      <c r="G25" s="281"/>
      <c r="H25" s="281"/>
      <c r="I25" s="281"/>
      <c r="J25" s="306"/>
      <c r="K25" s="306"/>
      <c r="L25" s="310"/>
      <c r="M25" s="311"/>
      <c r="N25" s="299"/>
      <c r="O25" s="283"/>
      <c r="P25" s="257"/>
      <c r="Q25" s="257"/>
      <c r="R25" s="258"/>
      <c r="S25" s="305"/>
      <c r="T25" s="331"/>
      <c r="U25" s="330"/>
      <c r="V25" s="330"/>
      <c r="W25" s="332"/>
    </row>
    <row r="26" spans="1:23" s="5" customFormat="1" ht="6" customHeight="1" x14ac:dyDescent="0.2">
      <c r="A26" s="291"/>
      <c r="B26" s="292"/>
      <c r="C26" s="293"/>
      <c r="D26" s="293"/>
      <c r="E26" s="293"/>
      <c r="F26" s="293"/>
      <c r="G26" s="293"/>
      <c r="H26" s="293"/>
      <c r="I26" s="293"/>
      <c r="J26" s="307"/>
      <c r="K26" s="307"/>
      <c r="L26" s="312"/>
      <c r="M26" s="313"/>
      <c r="N26" s="300"/>
      <c r="O26" s="453"/>
      <c r="P26" s="454"/>
      <c r="Q26" s="454"/>
      <c r="R26" s="455"/>
      <c r="S26" s="323"/>
      <c r="T26" s="451"/>
      <c r="U26" s="323"/>
      <c r="V26" s="323"/>
      <c r="W26" s="452"/>
    </row>
    <row r="27" spans="1:23" s="5" customFormat="1" ht="14.25" x14ac:dyDescent="0.2">
      <c r="A27" s="469" t="s">
        <v>165</v>
      </c>
      <c r="B27" s="357"/>
      <c r="C27" s="130" t="s">
        <v>44</v>
      </c>
      <c r="D27" s="358" t="s">
        <v>51</v>
      </c>
      <c r="E27" s="130">
        <v>2014</v>
      </c>
      <c r="F27" s="359">
        <v>12000</v>
      </c>
      <c r="G27" s="359">
        <v>40000</v>
      </c>
      <c r="H27" s="130" t="s">
        <v>25</v>
      </c>
      <c r="I27" s="130" t="s">
        <v>50</v>
      </c>
      <c r="J27" s="379">
        <v>42095</v>
      </c>
      <c r="K27" s="379">
        <v>42909</v>
      </c>
      <c r="L27" s="393">
        <v>623000</v>
      </c>
      <c r="M27" s="355">
        <v>600000</v>
      </c>
      <c r="N27" s="351"/>
      <c r="O27" s="324">
        <v>0</v>
      </c>
      <c r="P27" s="241">
        <v>0</v>
      </c>
      <c r="Q27" s="241">
        <v>0</v>
      </c>
      <c r="R27" s="325">
        <v>0</v>
      </c>
      <c r="S27" s="241"/>
      <c r="T27" s="324">
        <v>0</v>
      </c>
      <c r="U27" s="241">
        <v>0</v>
      </c>
      <c r="V27" s="241">
        <v>0</v>
      </c>
      <c r="W27" s="325">
        <v>0</v>
      </c>
    </row>
    <row r="28" spans="1:23" s="5" customFormat="1" x14ac:dyDescent="0.2">
      <c r="A28" s="419" t="s">
        <v>164</v>
      </c>
      <c r="B28" s="335" t="s">
        <v>241</v>
      </c>
      <c r="C28" s="336" t="s">
        <v>44</v>
      </c>
      <c r="D28" s="337" t="s">
        <v>51</v>
      </c>
      <c r="E28" s="336">
        <v>2014</v>
      </c>
      <c r="F28" s="338">
        <v>12000</v>
      </c>
      <c r="G28" s="338">
        <v>40000</v>
      </c>
      <c r="H28" s="336" t="s">
        <v>25</v>
      </c>
      <c r="I28" s="336" t="s">
        <v>14</v>
      </c>
      <c r="J28" s="381">
        <v>41848</v>
      </c>
      <c r="K28" s="381">
        <v>42820</v>
      </c>
      <c r="L28" s="339">
        <v>600000</v>
      </c>
      <c r="M28" s="383" t="s">
        <v>37</v>
      </c>
      <c r="N28" s="351"/>
      <c r="O28" s="396">
        <v>0</v>
      </c>
      <c r="P28" s="397">
        <v>0</v>
      </c>
      <c r="Q28" s="397">
        <v>0</v>
      </c>
      <c r="R28" s="398">
        <v>0</v>
      </c>
      <c r="S28" s="241"/>
      <c r="T28" s="396">
        <v>0</v>
      </c>
      <c r="U28" s="397">
        <v>0</v>
      </c>
      <c r="V28" s="397">
        <v>0</v>
      </c>
      <c r="W28" s="398">
        <v>0</v>
      </c>
    </row>
    <row r="29" spans="1:23" s="243" customFormat="1" ht="14.25" customHeight="1" x14ac:dyDescent="0.2">
      <c r="A29" s="102" t="s">
        <v>117</v>
      </c>
      <c r="B29" s="276">
        <v>-6</v>
      </c>
      <c r="C29" s="248" t="s">
        <v>44</v>
      </c>
      <c r="D29" s="264" t="s">
        <v>51</v>
      </c>
      <c r="E29" s="248">
        <v>2009</v>
      </c>
      <c r="F29" s="250">
        <v>12000</v>
      </c>
      <c r="G29" s="250">
        <v>40000</v>
      </c>
      <c r="H29" s="248" t="s">
        <v>25</v>
      </c>
      <c r="I29" s="248" t="s">
        <v>65</v>
      </c>
      <c r="J29" s="328">
        <v>42153</v>
      </c>
      <c r="K29" s="328">
        <v>42460</v>
      </c>
      <c r="L29" s="255">
        <v>590000</v>
      </c>
      <c r="M29" s="256">
        <v>735000</v>
      </c>
      <c r="N29" s="255"/>
      <c r="O29" s="318">
        <v>0</v>
      </c>
      <c r="P29" s="242">
        <v>0</v>
      </c>
      <c r="Q29" s="242">
        <v>0</v>
      </c>
      <c r="R29" s="327">
        <v>0</v>
      </c>
      <c r="S29" s="242"/>
      <c r="T29" s="318">
        <v>0</v>
      </c>
      <c r="U29" s="242">
        <v>0</v>
      </c>
      <c r="V29" s="242">
        <v>0</v>
      </c>
      <c r="W29" s="327">
        <v>0</v>
      </c>
    </row>
    <row r="30" spans="1:23" s="243" customFormat="1" ht="15" customHeight="1" x14ac:dyDescent="0.2">
      <c r="A30" s="400" t="s">
        <v>118</v>
      </c>
      <c r="B30" s="335"/>
      <c r="C30" s="336" t="s">
        <v>44</v>
      </c>
      <c r="D30" s="337" t="s">
        <v>51</v>
      </c>
      <c r="E30" s="399">
        <v>2011</v>
      </c>
      <c r="F30" s="338">
        <v>12000</v>
      </c>
      <c r="G30" s="338">
        <v>40000</v>
      </c>
      <c r="H30" s="336" t="s">
        <v>25</v>
      </c>
      <c r="I30" s="336" t="s">
        <v>49</v>
      </c>
      <c r="J30" s="381">
        <v>42155</v>
      </c>
      <c r="K30" s="381">
        <v>42324</v>
      </c>
      <c r="L30" s="339">
        <v>670000</v>
      </c>
      <c r="M30" s="383">
        <v>708000</v>
      </c>
      <c r="N30" s="255"/>
      <c r="O30" s="340">
        <v>0</v>
      </c>
      <c r="P30" s="341">
        <v>0</v>
      </c>
      <c r="Q30" s="341">
        <v>0</v>
      </c>
      <c r="R30" s="342">
        <v>0</v>
      </c>
      <c r="S30" s="242"/>
      <c r="T30" s="340">
        <v>0</v>
      </c>
      <c r="U30" s="341">
        <v>0</v>
      </c>
      <c r="V30" s="341">
        <v>0</v>
      </c>
      <c r="W30" s="342">
        <v>0</v>
      </c>
    </row>
    <row r="31" spans="1:23" s="243" customFormat="1" ht="15" customHeight="1" x14ac:dyDescent="0.2">
      <c r="A31" s="400"/>
      <c r="B31" s="335"/>
      <c r="C31" s="336"/>
      <c r="D31" s="337"/>
      <c r="E31" s="399"/>
      <c r="F31" s="338"/>
      <c r="G31" s="338"/>
      <c r="H31" s="336" t="s">
        <v>25</v>
      </c>
      <c r="I31" s="336" t="s">
        <v>49</v>
      </c>
      <c r="J31" s="381">
        <v>42324</v>
      </c>
      <c r="K31" s="381">
        <v>42400</v>
      </c>
      <c r="L31" s="339">
        <v>395000</v>
      </c>
      <c r="M31" s="383">
        <v>670000</v>
      </c>
      <c r="N31" s="255"/>
      <c r="O31" s="340"/>
      <c r="P31" s="341"/>
      <c r="Q31" s="341"/>
      <c r="R31" s="342"/>
      <c r="S31" s="242"/>
      <c r="T31" s="340"/>
      <c r="U31" s="341"/>
      <c r="V31" s="341"/>
      <c r="W31" s="342"/>
    </row>
    <row r="32" spans="1:23" s="243" customFormat="1" ht="15" customHeight="1" x14ac:dyDescent="0.2">
      <c r="A32" s="428" t="s">
        <v>119</v>
      </c>
      <c r="B32" s="276" t="s">
        <v>238</v>
      </c>
      <c r="C32" s="248" t="s">
        <v>44</v>
      </c>
      <c r="D32" s="264" t="s">
        <v>51</v>
      </c>
      <c r="E32" s="353">
        <v>2009</v>
      </c>
      <c r="F32" s="250">
        <v>12000</v>
      </c>
      <c r="G32" s="250">
        <v>40000</v>
      </c>
      <c r="H32" s="248" t="s">
        <v>25</v>
      </c>
      <c r="I32" s="248" t="s">
        <v>50</v>
      </c>
      <c r="J32" s="328">
        <v>41944</v>
      </c>
      <c r="K32" s="328">
        <v>43374</v>
      </c>
      <c r="L32" s="427">
        <v>581000</v>
      </c>
      <c r="M32" s="256">
        <v>569000</v>
      </c>
      <c r="N32" s="255"/>
      <c r="O32" s="318">
        <v>0</v>
      </c>
      <c r="P32" s="242">
        <v>0</v>
      </c>
      <c r="Q32" s="242">
        <v>0</v>
      </c>
      <c r="R32" s="327">
        <v>0</v>
      </c>
      <c r="S32" s="242"/>
      <c r="T32" s="318">
        <v>0</v>
      </c>
      <c r="U32" s="242">
        <v>0</v>
      </c>
      <c r="V32" s="242">
        <v>0</v>
      </c>
      <c r="W32" s="327">
        <v>0</v>
      </c>
    </row>
    <row r="33" spans="1:23" s="243" customFormat="1" ht="15" customHeight="1" x14ac:dyDescent="0.2">
      <c r="A33" s="400" t="s">
        <v>120</v>
      </c>
      <c r="B33" s="401" t="s">
        <v>239</v>
      </c>
      <c r="C33" s="336" t="s">
        <v>44</v>
      </c>
      <c r="D33" s="337" t="s">
        <v>51</v>
      </c>
      <c r="E33" s="399">
        <v>2010</v>
      </c>
      <c r="F33" s="338">
        <v>12000</v>
      </c>
      <c r="G33" s="338">
        <v>40000</v>
      </c>
      <c r="H33" s="336" t="s">
        <v>25</v>
      </c>
      <c r="I33" s="336" t="s">
        <v>50</v>
      </c>
      <c r="J33" s="381">
        <v>42093</v>
      </c>
      <c r="K33" s="381">
        <v>43921</v>
      </c>
      <c r="L33" s="339">
        <v>585000</v>
      </c>
      <c r="M33" s="383">
        <v>523000</v>
      </c>
      <c r="N33" s="255"/>
      <c r="O33" s="340">
        <v>17.9375</v>
      </c>
      <c r="P33" s="341">
        <v>0</v>
      </c>
      <c r="Q33" s="341">
        <v>0</v>
      </c>
      <c r="R33" s="342">
        <v>0</v>
      </c>
      <c r="S33" s="242"/>
      <c r="T33" s="340">
        <v>0</v>
      </c>
      <c r="U33" s="341">
        <v>0</v>
      </c>
      <c r="V33" s="341">
        <v>0</v>
      </c>
      <c r="W33" s="342">
        <v>0</v>
      </c>
    </row>
    <row r="34" spans="1:23" s="243" customFormat="1" ht="14.25" customHeight="1" x14ac:dyDescent="0.2">
      <c r="A34" s="428" t="s">
        <v>121</v>
      </c>
      <c r="B34" s="298" t="s">
        <v>212</v>
      </c>
      <c r="C34" s="248" t="s">
        <v>44</v>
      </c>
      <c r="D34" s="264" t="s">
        <v>51</v>
      </c>
      <c r="E34" s="248">
        <v>2009</v>
      </c>
      <c r="F34" s="250">
        <v>12000</v>
      </c>
      <c r="G34" s="250">
        <v>35000</v>
      </c>
      <c r="H34" s="248" t="s">
        <v>27</v>
      </c>
      <c r="I34" s="248" t="s">
        <v>29</v>
      </c>
      <c r="J34" s="328">
        <v>42004</v>
      </c>
      <c r="K34" s="328">
        <v>43070</v>
      </c>
      <c r="L34" s="427">
        <v>397000</v>
      </c>
      <c r="M34" s="256">
        <v>510000</v>
      </c>
      <c r="N34" s="255"/>
      <c r="O34" s="318">
        <v>4.520833333333333</v>
      </c>
      <c r="P34" s="242">
        <v>0</v>
      </c>
      <c r="Q34" s="242">
        <v>0</v>
      </c>
      <c r="R34" s="327">
        <v>0</v>
      </c>
      <c r="S34" s="242"/>
      <c r="T34" s="318">
        <v>14</v>
      </c>
      <c r="U34" s="242">
        <v>16</v>
      </c>
      <c r="V34" s="242">
        <v>0</v>
      </c>
      <c r="W34" s="327">
        <v>0</v>
      </c>
    </row>
    <row r="35" spans="1:23" s="243" customFormat="1" ht="14.25" customHeight="1" x14ac:dyDescent="0.2">
      <c r="A35" s="487" t="s">
        <v>122</v>
      </c>
      <c r="B35" s="335"/>
      <c r="C35" s="336" t="s">
        <v>44</v>
      </c>
      <c r="D35" s="337" t="s">
        <v>51</v>
      </c>
      <c r="E35" s="336">
        <v>2010</v>
      </c>
      <c r="F35" s="338">
        <v>12000</v>
      </c>
      <c r="G35" s="338">
        <v>35000</v>
      </c>
      <c r="H35" s="336" t="s">
        <v>36</v>
      </c>
      <c r="I35" s="336" t="s">
        <v>48</v>
      </c>
      <c r="J35" s="381">
        <v>42222</v>
      </c>
      <c r="K35" s="381">
        <v>42308</v>
      </c>
      <c r="L35" s="339">
        <v>295000</v>
      </c>
      <c r="M35" s="383">
        <v>395000</v>
      </c>
      <c r="N35" s="255"/>
      <c r="O35" s="340">
        <v>13.427083333333334</v>
      </c>
      <c r="P35" s="341">
        <v>0</v>
      </c>
      <c r="Q35" s="341">
        <v>0</v>
      </c>
      <c r="R35" s="488">
        <v>54</v>
      </c>
      <c r="S35" s="242"/>
      <c r="T35" s="340">
        <v>0</v>
      </c>
      <c r="U35" s="341">
        <v>0</v>
      </c>
      <c r="V35" s="341">
        <v>0</v>
      </c>
      <c r="W35" s="342">
        <v>0</v>
      </c>
    </row>
    <row r="36" spans="1:23" s="243" customFormat="1" ht="12" customHeight="1" x14ac:dyDescent="0.2">
      <c r="A36" s="114" t="s">
        <v>123</v>
      </c>
      <c r="B36" s="276">
        <v>-14</v>
      </c>
      <c r="C36" s="248" t="s">
        <v>44</v>
      </c>
      <c r="D36" s="264" t="s">
        <v>51</v>
      </c>
      <c r="E36" s="248">
        <v>2010</v>
      </c>
      <c r="F36" s="250">
        <v>12000</v>
      </c>
      <c r="G36" s="250">
        <v>40000</v>
      </c>
      <c r="H36" s="328" t="s">
        <v>25</v>
      </c>
      <c r="I36" s="248" t="s">
        <v>48</v>
      </c>
      <c r="J36" s="328">
        <v>41518</v>
      </c>
      <c r="K36" s="352">
        <v>42614</v>
      </c>
      <c r="L36" s="255">
        <v>528000</v>
      </c>
      <c r="M36" s="256">
        <v>499000</v>
      </c>
      <c r="N36" s="255"/>
      <c r="O36" s="318">
        <v>0</v>
      </c>
      <c r="P36" s="242">
        <v>16</v>
      </c>
      <c r="Q36" s="242">
        <v>0</v>
      </c>
      <c r="R36" s="327">
        <v>0</v>
      </c>
      <c r="S36" s="242"/>
      <c r="T36" s="318">
        <v>0</v>
      </c>
      <c r="U36" s="242">
        <v>0</v>
      </c>
      <c r="V36" s="242">
        <v>0</v>
      </c>
      <c r="W36" s="327">
        <v>0</v>
      </c>
    </row>
    <row r="37" spans="1:23" s="243" customFormat="1" x14ac:dyDescent="0.2">
      <c r="A37" s="114"/>
      <c r="B37" s="276"/>
      <c r="C37" s="248"/>
      <c r="D37" s="264"/>
      <c r="E37" s="248"/>
      <c r="F37" s="250"/>
      <c r="G37" s="250"/>
      <c r="H37" s="352" t="s">
        <v>36</v>
      </c>
      <c r="I37" s="248" t="s">
        <v>48</v>
      </c>
      <c r="J37" s="352">
        <v>42614</v>
      </c>
      <c r="K37" s="352">
        <v>44197</v>
      </c>
      <c r="L37" s="255">
        <v>508000</v>
      </c>
      <c r="M37" s="256">
        <v>528000</v>
      </c>
      <c r="N37" s="255"/>
      <c r="O37" s="318"/>
      <c r="P37" s="242"/>
      <c r="Q37" s="242"/>
      <c r="R37" s="327"/>
      <c r="S37" s="242"/>
      <c r="T37" s="318"/>
      <c r="U37" s="242"/>
      <c r="V37" s="242"/>
      <c r="W37" s="327"/>
    </row>
    <row r="38" spans="1:23" ht="14.25" customHeight="1" x14ac:dyDescent="0.2">
      <c r="A38" s="430" t="s">
        <v>124</v>
      </c>
      <c r="B38" s="335" t="s">
        <v>125</v>
      </c>
      <c r="C38" s="336" t="s">
        <v>44</v>
      </c>
      <c r="D38" s="337" t="s">
        <v>51</v>
      </c>
      <c r="E38" s="336">
        <v>2009</v>
      </c>
      <c r="F38" s="338">
        <v>12000</v>
      </c>
      <c r="G38" s="338">
        <v>37500</v>
      </c>
      <c r="H38" s="403" t="s">
        <v>27</v>
      </c>
      <c r="I38" s="336" t="s">
        <v>29</v>
      </c>
      <c r="J38" s="403">
        <v>40575</v>
      </c>
      <c r="K38" s="403">
        <v>43694</v>
      </c>
      <c r="L38" s="429">
        <v>419000</v>
      </c>
      <c r="M38" s="383" t="s">
        <v>37</v>
      </c>
      <c r="N38" s="255"/>
      <c r="O38" s="340">
        <v>0</v>
      </c>
      <c r="P38" s="341">
        <v>0</v>
      </c>
      <c r="Q38" s="341">
        <v>0</v>
      </c>
      <c r="R38" s="342">
        <v>0</v>
      </c>
      <c r="S38" s="242"/>
      <c r="T38" s="340">
        <v>0</v>
      </c>
      <c r="U38" s="341">
        <v>0</v>
      </c>
      <c r="V38" s="341">
        <v>0</v>
      </c>
      <c r="W38" s="342">
        <v>0</v>
      </c>
    </row>
    <row r="39" spans="1:23" ht="14.25" customHeight="1" x14ac:dyDescent="0.2">
      <c r="A39" s="456" t="s">
        <v>172</v>
      </c>
      <c r="B39" s="298">
        <v>-6</v>
      </c>
      <c r="C39" s="346" t="s">
        <v>44</v>
      </c>
      <c r="D39" s="264" t="s">
        <v>51</v>
      </c>
      <c r="E39" s="347">
        <v>2001</v>
      </c>
      <c r="F39" s="348">
        <v>10000</v>
      </c>
      <c r="G39" s="348">
        <v>35000</v>
      </c>
      <c r="H39" s="347" t="s">
        <v>25</v>
      </c>
      <c r="I39" s="347" t="s">
        <v>173</v>
      </c>
      <c r="J39" s="328">
        <v>41578</v>
      </c>
      <c r="K39" s="328">
        <v>42704</v>
      </c>
      <c r="L39" s="329">
        <v>604000</v>
      </c>
      <c r="M39" s="256">
        <v>456000</v>
      </c>
      <c r="N39" s="255"/>
      <c r="O39" s="318">
        <v>0</v>
      </c>
      <c r="P39" s="242">
        <v>23</v>
      </c>
      <c r="Q39" s="244">
        <v>49</v>
      </c>
      <c r="R39" s="327">
        <v>0</v>
      </c>
      <c r="S39" s="242"/>
      <c r="T39" s="318">
        <v>0</v>
      </c>
      <c r="U39" s="242">
        <v>0</v>
      </c>
      <c r="V39" s="242">
        <v>0</v>
      </c>
      <c r="W39" s="327">
        <v>0</v>
      </c>
    </row>
    <row r="40" spans="1:23" ht="14.25" customHeight="1" x14ac:dyDescent="0.2">
      <c r="A40" s="430" t="s">
        <v>126</v>
      </c>
      <c r="B40" s="335"/>
      <c r="C40" s="336" t="s">
        <v>44</v>
      </c>
      <c r="D40" s="337" t="s">
        <v>51</v>
      </c>
      <c r="E40" s="336">
        <v>1999</v>
      </c>
      <c r="F40" s="338">
        <v>10000</v>
      </c>
      <c r="G40" s="338">
        <v>35000</v>
      </c>
      <c r="H40" s="403"/>
      <c r="I40" s="336"/>
      <c r="J40" s="403"/>
      <c r="K40" s="432" t="s">
        <v>61</v>
      </c>
      <c r="L40" s="339"/>
      <c r="M40" s="383"/>
      <c r="N40" s="255"/>
      <c r="O40" s="340">
        <v>0</v>
      </c>
      <c r="P40" s="341">
        <v>0</v>
      </c>
      <c r="Q40" s="341">
        <v>0</v>
      </c>
      <c r="R40" s="342">
        <v>0</v>
      </c>
      <c r="S40" s="242"/>
      <c r="T40" s="340">
        <v>0</v>
      </c>
      <c r="U40" s="341">
        <v>0</v>
      </c>
      <c r="V40" s="341">
        <v>0</v>
      </c>
      <c r="W40" s="342">
        <v>0</v>
      </c>
    </row>
    <row r="41" spans="1:23" ht="14.25" customHeight="1" x14ac:dyDescent="0.2">
      <c r="A41" s="106" t="s">
        <v>127</v>
      </c>
      <c r="B41" s="276"/>
      <c r="C41" s="248" t="s">
        <v>44</v>
      </c>
      <c r="D41" s="264" t="s">
        <v>51</v>
      </c>
      <c r="E41" s="248">
        <v>2000</v>
      </c>
      <c r="F41" s="250">
        <v>10000</v>
      </c>
      <c r="G41" s="250">
        <v>35000</v>
      </c>
      <c r="H41" s="248"/>
      <c r="I41" s="248"/>
      <c r="J41" s="328"/>
      <c r="K41" s="328" t="s">
        <v>61</v>
      </c>
      <c r="L41" s="255"/>
      <c r="M41" s="256"/>
      <c r="N41" s="255"/>
      <c r="O41" s="318">
        <v>0</v>
      </c>
      <c r="P41" s="242">
        <v>0</v>
      </c>
      <c r="Q41" s="242">
        <v>0</v>
      </c>
      <c r="R41" s="327">
        <v>0</v>
      </c>
      <c r="S41" s="242"/>
      <c r="T41" s="318">
        <v>0</v>
      </c>
      <c r="U41" s="242">
        <v>0</v>
      </c>
      <c r="V41" s="242">
        <v>0</v>
      </c>
      <c r="W41" s="327">
        <v>0</v>
      </c>
    </row>
    <row r="42" spans="1:23" ht="15.2" customHeight="1" x14ac:dyDescent="0.2">
      <c r="A42" s="380" t="s">
        <v>128</v>
      </c>
      <c r="B42" s="335"/>
      <c r="C42" s="336" t="s">
        <v>44</v>
      </c>
      <c r="D42" s="337" t="s">
        <v>51</v>
      </c>
      <c r="E42" s="336">
        <v>2000</v>
      </c>
      <c r="F42" s="338">
        <v>10000</v>
      </c>
      <c r="G42" s="338">
        <v>35000</v>
      </c>
      <c r="H42" s="336"/>
      <c r="I42" s="336"/>
      <c r="J42" s="381"/>
      <c r="K42" s="404" t="s">
        <v>61</v>
      </c>
      <c r="L42" s="339"/>
      <c r="M42" s="383"/>
      <c r="N42" s="255"/>
      <c r="O42" s="340">
        <v>29</v>
      </c>
      <c r="P42" s="341">
        <v>0</v>
      </c>
      <c r="Q42" s="341">
        <v>0</v>
      </c>
      <c r="R42" s="342">
        <v>0</v>
      </c>
      <c r="S42" s="242"/>
      <c r="T42" s="340">
        <v>0</v>
      </c>
      <c r="U42" s="341">
        <v>0</v>
      </c>
      <c r="V42" s="341">
        <v>0</v>
      </c>
      <c r="W42" s="342">
        <v>0</v>
      </c>
    </row>
    <row r="43" spans="1:23" ht="15.2" customHeight="1" x14ac:dyDescent="0.2">
      <c r="A43" s="361" t="s">
        <v>129</v>
      </c>
      <c r="B43" s="298"/>
      <c r="C43" s="270" t="s">
        <v>44</v>
      </c>
      <c r="D43" s="264" t="s">
        <v>51</v>
      </c>
      <c r="E43" s="271">
        <v>2000</v>
      </c>
      <c r="F43" s="272">
        <v>10000</v>
      </c>
      <c r="G43" s="272">
        <v>35000</v>
      </c>
      <c r="H43" s="268"/>
      <c r="I43" s="268"/>
      <c r="J43" s="328"/>
      <c r="K43" s="328" t="s">
        <v>61</v>
      </c>
      <c r="L43" s="255"/>
      <c r="M43" s="256"/>
      <c r="N43" s="255"/>
      <c r="O43" s="318">
        <v>0</v>
      </c>
      <c r="P43" s="242">
        <v>0</v>
      </c>
      <c r="Q43" s="242">
        <v>0</v>
      </c>
      <c r="R43" s="327">
        <v>0</v>
      </c>
      <c r="S43" s="242"/>
      <c r="T43" s="318">
        <v>0</v>
      </c>
      <c r="U43" s="242">
        <v>0</v>
      </c>
      <c r="V43" s="242">
        <v>0</v>
      </c>
      <c r="W43" s="327">
        <v>0</v>
      </c>
    </row>
    <row r="44" spans="1:23" x14ac:dyDescent="0.2">
      <c r="A44" s="405" t="s">
        <v>130</v>
      </c>
      <c r="B44" s="401"/>
      <c r="C44" s="336" t="s">
        <v>44</v>
      </c>
      <c r="D44" s="337" t="s">
        <v>51</v>
      </c>
      <c r="E44" s="336">
        <v>2000</v>
      </c>
      <c r="F44" s="338">
        <v>10000</v>
      </c>
      <c r="G44" s="338">
        <v>30000</v>
      </c>
      <c r="H44" s="336"/>
      <c r="I44" s="336"/>
      <c r="J44" s="381"/>
      <c r="K44" s="381" t="s">
        <v>61</v>
      </c>
      <c r="L44" s="382"/>
      <c r="M44" s="383"/>
      <c r="N44" s="255"/>
      <c r="O44" s="340">
        <v>0</v>
      </c>
      <c r="P44" s="341">
        <v>0</v>
      </c>
      <c r="Q44" s="341">
        <v>0</v>
      </c>
      <c r="R44" s="342">
        <v>0</v>
      </c>
      <c r="S44" s="242"/>
      <c r="T44" s="340">
        <v>0</v>
      </c>
      <c r="U44" s="341">
        <v>0</v>
      </c>
      <c r="V44" s="341">
        <v>0</v>
      </c>
      <c r="W44" s="342">
        <v>0</v>
      </c>
    </row>
    <row r="45" spans="1:23" ht="13.5" customHeight="1" x14ac:dyDescent="0.2">
      <c r="A45" s="102" t="s">
        <v>131</v>
      </c>
      <c r="B45" s="276"/>
      <c r="C45" s="248" t="s">
        <v>44</v>
      </c>
      <c r="D45" s="103" t="s">
        <v>51</v>
      </c>
      <c r="E45" s="248">
        <v>1999</v>
      </c>
      <c r="F45" s="250">
        <v>10000</v>
      </c>
      <c r="G45" s="250">
        <v>30000</v>
      </c>
      <c r="H45" s="248"/>
      <c r="I45" s="248"/>
      <c r="J45" s="104"/>
      <c r="K45" s="392" t="s">
        <v>185</v>
      </c>
      <c r="L45" s="255"/>
      <c r="M45" s="256"/>
      <c r="N45" s="255"/>
      <c r="O45" s="318">
        <v>0</v>
      </c>
      <c r="P45" s="242">
        <v>0</v>
      </c>
      <c r="Q45" s="242">
        <v>0</v>
      </c>
      <c r="R45" s="327">
        <v>0</v>
      </c>
      <c r="S45" s="242"/>
      <c r="T45" s="318">
        <v>0</v>
      </c>
      <c r="U45" s="242">
        <v>0</v>
      </c>
      <c r="V45" s="242">
        <v>0</v>
      </c>
      <c r="W45" s="327">
        <v>0</v>
      </c>
    </row>
    <row r="46" spans="1:23" x14ac:dyDescent="0.2">
      <c r="A46" s="434" t="s">
        <v>132</v>
      </c>
      <c r="B46" s="401" t="s">
        <v>82</v>
      </c>
      <c r="C46" s="336" t="s">
        <v>44</v>
      </c>
      <c r="D46" s="337" t="s">
        <v>51</v>
      </c>
      <c r="E46" s="336">
        <v>1999</v>
      </c>
      <c r="F46" s="338">
        <v>10000</v>
      </c>
      <c r="G46" s="338">
        <v>30000</v>
      </c>
      <c r="H46" s="468" t="s">
        <v>246</v>
      </c>
      <c r="I46" s="468" t="s">
        <v>184</v>
      </c>
      <c r="J46" s="433">
        <v>42248</v>
      </c>
      <c r="K46" s="433">
        <v>42328</v>
      </c>
      <c r="L46" s="429">
        <v>584000</v>
      </c>
      <c r="M46" s="440">
        <v>593000</v>
      </c>
      <c r="N46" s="255"/>
      <c r="O46" s="340">
        <v>0</v>
      </c>
      <c r="P46" s="341">
        <v>0</v>
      </c>
      <c r="Q46" s="341">
        <v>0</v>
      </c>
      <c r="R46" s="342">
        <v>0</v>
      </c>
      <c r="S46" s="242"/>
      <c r="T46" s="340">
        <v>0</v>
      </c>
      <c r="U46" s="341">
        <v>0</v>
      </c>
      <c r="V46" s="341">
        <v>0</v>
      </c>
      <c r="W46" s="342">
        <v>0</v>
      </c>
    </row>
    <row r="47" spans="1:23" x14ac:dyDescent="0.2">
      <c r="A47" s="405"/>
      <c r="B47" s="517" t="s">
        <v>244</v>
      </c>
      <c r="C47" s="336"/>
      <c r="D47" s="337"/>
      <c r="E47" s="336"/>
      <c r="F47" s="338"/>
      <c r="G47" s="338"/>
      <c r="H47" s="468" t="s">
        <v>252</v>
      </c>
      <c r="I47" s="468" t="s">
        <v>184</v>
      </c>
      <c r="J47" s="433">
        <f>K46</f>
        <v>42328</v>
      </c>
      <c r="K47" s="433">
        <v>42483</v>
      </c>
      <c r="L47" s="429">
        <f>M46</f>
        <v>593000</v>
      </c>
      <c r="M47" s="440">
        <f>L46</f>
        <v>584000</v>
      </c>
      <c r="N47" s="255"/>
      <c r="O47" s="340"/>
      <c r="P47" s="341"/>
      <c r="Q47" s="341"/>
      <c r="R47" s="342"/>
      <c r="S47" s="242"/>
      <c r="T47" s="340"/>
      <c r="U47" s="341"/>
      <c r="V47" s="341"/>
      <c r="W47" s="342"/>
    </row>
    <row r="48" spans="1:23" ht="14.25" customHeight="1" x14ac:dyDescent="0.2">
      <c r="A48" s="106" t="s">
        <v>133</v>
      </c>
      <c r="B48" s="298"/>
      <c r="C48" s="248" t="s">
        <v>44</v>
      </c>
      <c r="D48" s="264" t="s">
        <v>51</v>
      </c>
      <c r="E48" s="248">
        <v>1998</v>
      </c>
      <c r="F48" s="250">
        <v>10000</v>
      </c>
      <c r="G48" s="250">
        <v>30000</v>
      </c>
      <c r="H48" s="248"/>
      <c r="I48" s="248"/>
      <c r="J48" s="328"/>
      <c r="K48" s="328" t="s">
        <v>61</v>
      </c>
      <c r="L48" s="255"/>
      <c r="M48" s="256"/>
      <c r="N48" s="255"/>
      <c r="O48" s="318">
        <v>0</v>
      </c>
      <c r="P48" s="242">
        <v>0</v>
      </c>
      <c r="Q48" s="242">
        <v>0</v>
      </c>
      <c r="R48" s="327">
        <v>0</v>
      </c>
      <c r="S48" s="242"/>
      <c r="T48" s="318">
        <v>0</v>
      </c>
      <c r="U48" s="242">
        <v>0</v>
      </c>
      <c r="V48" s="242">
        <v>0</v>
      </c>
      <c r="W48" s="327">
        <v>0</v>
      </c>
    </row>
    <row r="49" spans="1:23" ht="15.2" customHeight="1" x14ac:dyDescent="0.2">
      <c r="A49" s="380" t="s">
        <v>134</v>
      </c>
      <c r="B49" s="401">
        <v>-19</v>
      </c>
      <c r="C49" s="336" t="s">
        <v>45</v>
      </c>
      <c r="D49" s="337" t="s">
        <v>51</v>
      </c>
      <c r="E49" s="336">
        <v>2001</v>
      </c>
      <c r="F49" s="338">
        <v>8500</v>
      </c>
      <c r="G49" s="338">
        <v>35000</v>
      </c>
      <c r="H49" s="336" t="s">
        <v>197</v>
      </c>
      <c r="I49" s="336" t="s">
        <v>196</v>
      </c>
      <c r="J49" s="381">
        <v>41987</v>
      </c>
      <c r="K49" s="381">
        <v>42339</v>
      </c>
      <c r="L49" s="382">
        <v>495000</v>
      </c>
      <c r="M49" s="383">
        <v>487000</v>
      </c>
      <c r="N49" s="255"/>
      <c r="O49" s="340">
        <v>13.614583333333334</v>
      </c>
      <c r="P49" s="341">
        <v>0</v>
      </c>
      <c r="Q49" s="341">
        <v>0</v>
      </c>
      <c r="R49" s="342">
        <v>0</v>
      </c>
      <c r="S49" s="242"/>
      <c r="T49" s="340">
        <v>0</v>
      </c>
      <c r="U49" s="341">
        <v>0</v>
      </c>
      <c r="V49" s="341">
        <v>0</v>
      </c>
      <c r="W49" s="342">
        <v>0</v>
      </c>
    </row>
    <row r="50" spans="1:23" ht="14.25" customHeight="1" x14ac:dyDescent="0.2">
      <c r="A50" s="447" t="s">
        <v>135</v>
      </c>
      <c r="B50" s="276" t="s">
        <v>175</v>
      </c>
      <c r="C50" s="248" t="s">
        <v>45</v>
      </c>
      <c r="D50" s="248"/>
      <c r="E50" s="248">
        <v>2000</v>
      </c>
      <c r="F50" s="250">
        <v>8000</v>
      </c>
      <c r="G50" s="250">
        <v>30000</v>
      </c>
      <c r="H50" s="248" t="s">
        <v>25</v>
      </c>
      <c r="I50" s="248" t="s">
        <v>31</v>
      </c>
      <c r="J50" s="328">
        <v>41122</v>
      </c>
      <c r="K50" s="328">
        <v>42948</v>
      </c>
      <c r="L50" s="255">
        <v>531000</v>
      </c>
      <c r="M50" s="256">
        <v>551000</v>
      </c>
      <c r="N50" s="255"/>
      <c r="O50" s="318">
        <v>0</v>
      </c>
      <c r="P50" s="242">
        <v>60.541666666666664</v>
      </c>
      <c r="Q50" s="242">
        <v>92</v>
      </c>
      <c r="R50" s="149">
        <v>10</v>
      </c>
      <c r="S50" s="242"/>
      <c r="T50" s="318">
        <v>0</v>
      </c>
      <c r="U50" s="242">
        <v>0</v>
      </c>
      <c r="V50" s="242">
        <v>0</v>
      </c>
      <c r="W50" s="327">
        <v>0</v>
      </c>
    </row>
    <row r="51" spans="1:23" ht="14.25" customHeight="1" x14ac:dyDescent="0.2">
      <c r="A51" s="405" t="s">
        <v>136</v>
      </c>
      <c r="B51" s="401" t="s">
        <v>177</v>
      </c>
      <c r="C51" s="336" t="s">
        <v>44</v>
      </c>
      <c r="D51" s="402" t="s">
        <v>51</v>
      </c>
      <c r="E51" s="336">
        <v>2010</v>
      </c>
      <c r="F51" s="338">
        <v>7500</v>
      </c>
      <c r="G51" s="338">
        <v>40000</v>
      </c>
      <c r="H51" s="336" t="s">
        <v>35</v>
      </c>
      <c r="I51" s="336" t="s">
        <v>39</v>
      </c>
      <c r="J51" s="381">
        <v>40544</v>
      </c>
      <c r="K51" s="381">
        <v>43101</v>
      </c>
      <c r="L51" s="339">
        <v>487000</v>
      </c>
      <c r="M51" s="383" t="s">
        <v>37</v>
      </c>
      <c r="N51" s="255"/>
      <c r="O51" s="340">
        <v>0</v>
      </c>
      <c r="P51" s="341">
        <v>9</v>
      </c>
      <c r="Q51" s="341">
        <v>0</v>
      </c>
      <c r="R51" s="342">
        <v>0</v>
      </c>
      <c r="S51" s="242"/>
      <c r="T51" s="340">
        <v>0</v>
      </c>
      <c r="U51" s="341">
        <v>0</v>
      </c>
      <c r="V51" s="341">
        <v>0</v>
      </c>
      <c r="W51" s="342">
        <v>0</v>
      </c>
    </row>
    <row r="52" spans="1:23" s="243" customFormat="1" ht="14.25" customHeight="1" x14ac:dyDescent="0.2">
      <c r="A52" s="428" t="s">
        <v>137</v>
      </c>
      <c r="B52" s="276" t="s">
        <v>226</v>
      </c>
      <c r="C52" s="248" t="s">
        <v>45</v>
      </c>
      <c r="D52" s="264" t="s">
        <v>51</v>
      </c>
      <c r="E52" s="248">
        <v>2005</v>
      </c>
      <c r="F52" s="250">
        <v>7500</v>
      </c>
      <c r="G52" s="250">
        <v>37500</v>
      </c>
      <c r="H52" s="248" t="s">
        <v>35</v>
      </c>
      <c r="I52" s="248" t="s">
        <v>49</v>
      </c>
      <c r="J52" s="328">
        <v>42157</v>
      </c>
      <c r="K52" s="328">
        <v>42537</v>
      </c>
      <c r="L52" s="427">
        <v>367000</v>
      </c>
      <c r="M52" s="256" t="s">
        <v>37</v>
      </c>
      <c r="N52" s="255"/>
      <c r="O52" s="318">
        <v>90</v>
      </c>
      <c r="P52" s="242">
        <v>78</v>
      </c>
      <c r="Q52" s="242">
        <v>0</v>
      </c>
      <c r="R52" s="327">
        <v>0</v>
      </c>
      <c r="S52" s="242"/>
      <c r="T52" s="318">
        <v>0</v>
      </c>
      <c r="U52" s="242">
        <v>0</v>
      </c>
      <c r="V52" s="242">
        <v>0</v>
      </c>
      <c r="W52" s="327">
        <v>0</v>
      </c>
    </row>
    <row r="53" spans="1:23" s="243" customFormat="1" ht="14.25" customHeight="1" x14ac:dyDescent="0.2">
      <c r="A53" s="102"/>
      <c r="B53" s="276" t="s">
        <v>226</v>
      </c>
      <c r="C53" s="248"/>
      <c r="D53" s="264"/>
      <c r="E53" s="248"/>
      <c r="F53" s="250"/>
      <c r="G53" s="250"/>
      <c r="H53" s="248" t="s">
        <v>35</v>
      </c>
      <c r="I53" s="248" t="s">
        <v>49</v>
      </c>
      <c r="J53" s="328">
        <v>42537</v>
      </c>
      <c r="K53" s="328">
        <v>42902</v>
      </c>
      <c r="L53" s="427">
        <v>371000</v>
      </c>
      <c r="M53" s="431">
        <f>L52</f>
        <v>367000</v>
      </c>
      <c r="N53" s="255"/>
      <c r="O53" s="318"/>
      <c r="P53" s="242"/>
      <c r="Q53" s="242"/>
      <c r="R53" s="327"/>
      <c r="S53" s="242"/>
      <c r="T53" s="318"/>
      <c r="U53" s="242"/>
      <c r="V53" s="242"/>
      <c r="W53" s="327"/>
    </row>
    <row r="54" spans="1:23" s="243" customFormat="1" ht="14.25" customHeight="1" x14ac:dyDescent="0.2">
      <c r="A54" s="405" t="s">
        <v>138</v>
      </c>
      <c r="B54" s="401">
        <v>-8</v>
      </c>
      <c r="C54" s="336" t="s">
        <v>45</v>
      </c>
      <c r="D54" s="337" t="s">
        <v>51</v>
      </c>
      <c r="E54" s="336">
        <v>2005</v>
      </c>
      <c r="F54" s="338">
        <v>7500</v>
      </c>
      <c r="G54" s="338">
        <v>37500</v>
      </c>
      <c r="H54" s="336" t="s">
        <v>206</v>
      </c>
      <c r="I54" s="336" t="s">
        <v>207</v>
      </c>
      <c r="J54" s="381">
        <v>42125</v>
      </c>
      <c r="K54" s="381">
        <v>42370</v>
      </c>
      <c r="L54" s="339">
        <v>315000</v>
      </c>
      <c r="M54" s="383">
        <v>355000</v>
      </c>
      <c r="N54" s="255"/>
      <c r="O54" s="340">
        <v>0</v>
      </c>
      <c r="P54" s="341">
        <v>0</v>
      </c>
      <c r="Q54" s="341">
        <v>0</v>
      </c>
      <c r="R54" s="342">
        <v>0</v>
      </c>
      <c r="S54" s="242"/>
      <c r="T54" s="340">
        <v>0</v>
      </c>
      <c r="U54" s="341">
        <v>0</v>
      </c>
      <c r="V54" s="341">
        <v>0</v>
      </c>
      <c r="W54" s="342">
        <v>0</v>
      </c>
    </row>
    <row r="55" spans="1:23" s="243" customFormat="1" ht="14.25" customHeight="1" x14ac:dyDescent="0.2">
      <c r="A55" s="102" t="s">
        <v>139</v>
      </c>
      <c r="B55" s="298" t="s">
        <v>240</v>
      </c>
      <c r="C55" s="237" t="s">
        <v>45</v>
      </c>
      <c r="D55" s="264" t="s">
        <v>51</v>
      </c>
      <c r="E55" s="248">
        <v>2009</v>
      </c>
      <c r="F55" s="250">
        <v>7500</v>
      </c>
      <c r="G55" s="250">
        <v>37500</v>
      </c>
      <c r="H55" s="248" t="s">
        <v>25</v>
      </c>
      <c r="I55" s="248" t="s">
        <v>39</v>
      </c>
      <c r="J55" s="377">
        <v>40118</v>
      </c>
      <c r="K55" s="377">
        <v>42675</v>
      </c>
      <c r="L55" s="255">
        <v>422000</v>
      </c>
      <c r="M55" s="256" t="s">
        <v>37</v>
      </c>
      <c r="N55" s="255"/>
      <c r="O55" s="318">
        <v>0</v>
      </c>
      <c r="P55" s="242">
        <v>0</v>
      </c>
      <c r="Q55" s="242">
        <v>0</v>
      </c>
      <c r="R55" s="327">
        <v>0</v>
      </c>
      <c r="S55" s="242"/>
      <c r="T55" s="318">
        <v>0</v>
      </c>
      <c r="U55" s="242">
        <v>0</v>
      </c>
      <c r="V55" s="242">
        <v>0</v>
      </c>
      <c r="W55" s="327">
        <v>0</v>
      </c>
    </row>
    <row r="56" spans="1:23" ht="14.25" customHeight="1" x14ac:dyDescent="0.2">
      <c r="A56" s="434" t="s">
        <v>161</v>
      </c>
      <c r="B56" s="401"/>
      <c r="C56" s="336" t="s">
        <v>45</v>
      </c>
      <c r="D56" s="402" t="s">
        <v>51</v>
      </c>
      <c r="E56" s="336">
        <v>2001</v>
      </c>
      <c r="F56" s="338">
        <v>7500</v>
      </c>
      <c r="G56" s="338">
        <v>35000</v>
      </c>
      <c r="H56" s="336"/>
      <c r="I56" s="336"/>
      <c r="J56" s="381"/>
      <c r="K56" s="433" t="s">
        <v>61</v>
      </c>
      <c r="L56" s="339"/>
      <c r="M56" s="383"/>
      <c r="N56" s="255"/>
      <c r="O56" s="340">
        <v>0</v>
      </c>
      <c r="P56" s="341">
        <v>0</v>
      </c>
      <c r="Q56" s="341">
        <v>0</v>
      </c>
      <c r="R56" s="342">
        <v>0</v>
      </c>
      <c r="S56" s="242"/>
      <c r="T56" s="340">
        <v>0</v>
      </c>
      <c r="U56" s="341">
        <v>0</v>
      </c>
      <c r="V56" s="341">
        <v>0</v>
      </c>
      <c r="W56" s="342">
        <v>0</v>
      </c>
    </row>
    <row r="57" spans="1:23" s="243" customFormat="1" ht="14.25" customHeight="1" x14ac:dyDescent="0.2">
      <c r="A57" s="435" t="s">
        <v>140</v>
      </c>
      <c r="B57" s="349"/>
      <c r="C57" s="343" t="s">
        <v>45</v>
      </c>
      <c r="D57" s="378" t="s">
        <v>51</v>
      </c>
      <c r="E57" s="343">
        <v>2001</v>
      </c>
      <c r="F57" s="128">
        <v>7500</v>
      </c>
      <c r="G57" s="128">
        <v>35000</v>
      </c>
      <c r="H57" s="343"/>
      <c r="I57" s="343"/>
      <c r="J57" s="350"/>
      <c r="K57" s="436" t="s">
        <v>61</v>
      </c>
      <c r="L57" s="344"/>
      <c r="M57" s="345"/>
      <c r="N57" s="255"/>
      <c r="O57" s="319">
        <v>0</v>
      </c>
      <c r="P57" s="254">
        <v>0</v>
      </c>
      <c r="Q57" s="254">
        <v>0</v>
      </c>
      <c r="R57" s="266">
        <v>0</v>
      </c>
      <c r="S57" s="242"/>
      <c r="T57" s="319">
        <v>0</v>
      </c>
      <c r="U57" s="254">
        <v>0</v>
      </c>
      <c r="V57" s="254">
        <v>0</v>
      </c>
      <c r="W57" s="266">
        <v>0</v>
      </c>
    </row>
    <row r="58" spans="1:23" s="243" customFormat="1" ht="6" customHeight="1" x14ac:dyDescent="0.2">
      <c r="A58" s="289"/>
      <c r="B58" s="329"/>
      <c r="C58" s="248"/>
      <c r="D58" s="103"/>
      <c r="E58" s="248"/>
      <c r="F58" s="250"/>
      <c r="G58" s="250"/>
      <c r="H58" s="104"/>
      <c r="I58" s="104"/>
      <c r="J58" s="104"/>
      <c r="K58" s="104"/>
      <c r="L58" s="247"/>
      <c r="M58" s="247"/>
      <c r="N58" s="247"/>
      <c r="O58" s="318"/>
      <c r="P58" s="242"/>
      <c r="Q58" s="242"/>
      <c r="R58" s="327"/>
      <c r="S58" s="242"/>
      <c r="T58" s="318"/>
      <c r="U58" s="242"/>
      <c r="V58" s="242"/>
      <c r="W58" s="327"/>
    </row>
    <row r="59" spans="1:23" s="243" customFormat="1" x14ac:dyDescent="0.2">
      <c r="B59" s="127"/>
      <c r="C59" s="248"/>
      <c r="D59" s="103"/>
      <c r="E59" s="248"/>
      <c r="F59" s="250"/>
      <c r="G59" s="250"/>
      <c r="H59" s="104"/>
      <c r="I59" s="104"/>
      <c r="J59" s="104"/>
      <c r="K59" s="104"/>
      <c r="L59" s="247"/>
      <c r="M59" s="151" t="s">
        <v>69</v>
      </c>
      <c r="N59" s="151"/>
      <c r="O59" s="173">
        <f>SUM(O27:O57)</f>
        <v>168.5</v>
      </c>
      <c r="P59" s="44">
        <f>SUM(P27:P57)</f>
        <v>186.54166666666666</v>
      </c>
      <c r="Q59" s="44">
        <f>SUM(Q27:Q57)</f>
        <v>141</v>
      </c>
      <c r="R59" s="194">
        <f>SUM(R27:R57)</f>
        <v>64</v>
      </c>
      <c r="S59" s="253"/>
      <c r="T59" s="173">
        <f>SUM(T27:T57)</f>
        <v>14</v>
      </c>
      <c r="U59" s="44">
        <f>SUM(U27:U57)</f>
        <v>16</v>
      </c>
      <c r="V59" s="44">
        <f>SUM(V27:V57)</f>
        <v>0</v>
      </c>
      <c r="W59" s="194">
        <f>SUM(W27:W57)</f>
        <v>0</v>
      </c>
    </row>
    <row r="60" spans="1:23" s="243" customFormat="1" ht="14.25" x14ac:dyDescent="0.2">
      <c r="B60" s="127"/>
      <c r="C60" s="248"/>
      <c r="D60" s="103"/>
      <c r="E60" s="248"/>
      <c r="F60" s="250"/>
      <c r="G60" s="250"/>
      <c r="H60" s="104"/>
      <c r="I60" s="104"/>
      <c r="J60" s="104"/>
      <c r="K60" s="104"/>
      <c r="L60" s="247"/>
      <c r="M60" s="151" t="s">
        <v>9</v>
      </c>
      <c r="N60" s="151"/>
      <c r="O60" s="174">
        <v>511000</v>
      </c>
      <c r="P60" s="170">
        <v>512000</v>
      </c>
      <c r="Q60" s="170">
        <v>514000</v>
      </c>
      <c r="R60" s="195">
        <v>496000</v>
      </c>
      <c r="S60" s="220"/>
      <c r="T60" s="174">
        <v>512000</v>
      </c>
      <c r="U60" s="170">
        <v>515000</v>
      </c>
      <c r="V60" s="170">
        <v>513000</v>
      </c>
      <c r="W60" s="195">
        <v>514000</v>
      </c>
    </row>
    <row r="61" spans="1:23" ht="6" customHeight="1" x14ac:dyDescent="0.2">
      <c r="A61" s="137"/>
      <c r="B61" s="255"/>
      <c r="C61" s="107"/>
      <c r="D61" s="107"/>
      <c r="E61" s="108"/>
      <c r="F61" s="109"/>
      <c r="G61" s="109"/>
      <c r="H61" s="110"/>
      <c r="I61" s="104"/>
      <c r="J61" s="104"/>
      <c r="K61" s="104"/>
      <c r="L61" s="111"/>
      <c r="M61" s="171"/>
      <c r="N61" s="111"/>
      <c r="O61" s="317"/>
      <c r="P61" s="253"/>
      <c r="Q61" s="253"/>
      <c r="R61" s="267"/>
      <c r="S61" s="253"/>
      <c r="T61" s="317"/>
      <c r="U61" s="253"/>
      <c r="V61" s="253"/>
      <c r="W61" s="267"/>
    </row>
    <row r="62" spans="1:23" s="243" customFormat="1" ht="15" x14ac:dyDescent="0.2">
      <c r="A62" s="278" t="s">
        <v>229</v>
      </c>
      <c r="B62" s="284"/>
      <c r="C62" s="280"/>
      <c r="D62" s="281"/>
      <c r="E62" s="282"/>
      <c r="F62" s="281"/>
      <c r="G62" s="281"/>
      <c r="H62" s="281"/>
      <c r="I62" s="281"/>
      <c r="J62" s="306"/>
      <c r="K62" s="306"/>
      <c r="L62" s="310"/>
      <c r="M62" s="311"/>
      <c r="N62" s="299"/>
      <c r="O62" s="283"/>
      <c r="P62" s="257"/>
      <c r="Q62" s="257"/>
      <c r="R62" s="362"/>
      <c r="S62" s="305"/>
      <c r="T62" s="283"/>
      <c r="U62" s="257"/>
      <c r="V62" s="257"/>
      <c r="W62" s="258"/>
    </row>
    <row r="63" spans="1:23" s="5" customFormat="1" ht="6" customHeight="1" x14ac:dyDescent="0.2">
      <c r="A63" s="367"/>
      <c r="B63" s="368"/>
      <c r="C63" s="369"/>
      <c r="D63" s="369"/>
      <c r="E63" s="370"/>
      <c r="F63" s="371"/>
      <c r="G63" s="371"/>
      <c r="H63" s="372"/>
      <c r="I63" s="373"/>
      <c r="J63" s="373"/>
      <c r="K63" s="373"/>
      <c r="L63" s="374"/>
      <c r="M63" s="375"/>
      <c r="N63" s="111"/>
      <c r="O63" s="318"/>
      <c r="P63" s="449"/>
      <c r="Q63" s="449"/>
      <c r="R63" s="450"/>
      <c r="S63" s="242"/>
      <c r="T63" s="318"/>
      <c r="U63" s="242"/>
      <c r="V63" s="449"/>
      <c r="W63" s="450"/>
    </row>
    <row r="64" spans="1:23" s="243" customFormat="1" ht="15.75" customHeight="1" x14ac:dyDescent="0.2">
      <c r="A64" s="412" t="s">
        <v>110</v>
      </c>
      <c r="B64" s="418"/>
      <c r="C64" s="336" t="s">
        <v>45</v>
      </c>
      <c r="D64" s="337" t="s">
        <v>51</v>
      </c>
      <c r="E64" s="384">
        <v>2009</v>
      </c>
      <c r="F64" s="338">
        <v>10000</v>
      </c>
      <c r="G64" s="338">
        <v>30000</v>
      </c>
      <c r="H64" s="385"/>
      <c r="I64" s="381"/>
      <c r="J64" s="381"/>
      <c r="K64" s="381" t="s">
        <v>185</v>
      </c>
      <c r="L64" s="339"/>
      <c r="M64" s="383"/>
      <c r="N64" s="255"/>
      <c r="O64" s="396">
        <v>0</v>
      </c>
      <c r="P64" s="397">
        <v>0</v>
      </c>
      <c r="Q64" s="397">
        <v>0</v>
      </c>
      <c r="R64" s="398">
        <v>0</v>
      </c>
      <c r="S64" s="242"/>
      <c r="T64" s="340">
        <v>0</v>
      </c>
      <c r="U64" s="341">
        <v>0</v>
      </c>
      <c r="V64" s="397">
        <v>0</v>
      </c>
      <c r="W64" s="398">
        <v>0</v>
      </c>
    </row>
    <row r="65" spans="1:23" s="243" customFormat="1" ht="15.75" customHeight="1" x14ac:dyDescent="0.2">
      <c r="A65" s="439" t="s">
        <v>109</v>
      </c>
      <c r="B65" s="298"/>
      <c r="C65" s="248" t="s">
        <v>45</v>
      </c>
      <c r="D65" s="103" t="s">
        <v>51</v>
      </c>
      <c r="E65" s="271">
        <v>2010</v>
      </c>
      <c r="F65" s="250">
        <v>10000</v>
      </c>
      <c r="G65" s="250">
        <v>30000</v>
      </c>
      <c r="H65" s="268"/>
      <c r="I65" s="328"/>
      <c r="J65" s="328"/>
      <c r="K65" s="328" t="s">
        <v>185</v>
      </c>
      <c r="L65" s="255"/>
      <c r="M65" s="256"/>
      <c r="N65" s="255"/>
      <c r="O65" s="318">
        <v>42.385416666666664</v>
      </c>
      <c r="P65" s="242">
        <v>0</v>
      </c>
      <c r="Q65" s="242">
        <v>0</v>
      </c>
      <c r="R65" s="327">
        <v>0</v>
      </c>
      <c r="S65" s="242"/>
      <c r="T65" s="318">
        <v>0</v>
      </c>
      <c r="U65" s="242">
        <v>0</v>
      </c>
      <c r="V65" s="242">
        <v>0</v>
      </c>
      <c r="W65" s="327">
        <v>0</v>
      </c>
    </row>
    <row r="66" spans="1:23" s="243" customFormat="1" ht="15.75" customHeight="1" x14ac:dyDescent="0.2">
      <c r="A66" s="265"/>
      <c r="B66" s="518" t="s">
        <v>256</v>
      </c>
      <c r="C66" s="248"/>
      <c r="D66" s="103"/>
      <c r="E66" s="271"/>
      <c r="F66" s="250"/>
      <c r="G66" s="250"/>
      <c r="H66" s="458" t="s">
        <v>28</v>
      </c>
      <c r="I66" s="459" t="s">
        <v>243</v>
      </c>
      <c r="J66" s="459">
        <v>42370</v>
      </c>
      <c r="K66" s="459">
        <v>42460</v>
      </c>
      <c r="L66" s="427">
        <v>471000</v>
      </c>
      <c r="M66" s="431" t="s">
        <v>37</v>
      </c>
      <c r="N66" s="255"/>
      <c r="O66" s="318"/>
      <c r="P66" s="242"/>
      <c r="Q66" s="242"/>
      <c r="R66" s="327"/>
      <c r="S66" s="242"/>
      <c r="T66" s="318"/>
      <c r="U66" s="242"/>
      <c r="V66" s="242"/>
      <c r="W66" s="327"/>
    </row>
    <row r="67" spans="1:23" s="243" customFormat="1" ht="14.25" customHeight="1" x14ac:dyDescent="0.2">
      <c r="A67" s="437" t="s">
        <v>146</v>
      </c>
      <c r="B67" s="335"/>
      <c r="C67" s="407" t="s">
        <v>45</v>
      </c>
      <c r="D67" s="407"/>
      <c r="E67" s="407" t="s">
        <v>13</v>
      </c>
      <c r="F67" s="408">
        <v>5000</v>
      </c>
      <c r="G67" s="408">
        <v>30000</v>
      </c>
      <c r="H67" s="407"/>
      <c r="I67" s="407"/>
      <c r="J67" s="381"/>
      <c r="K67" s="433" t="s">
        <v>61</v>
      </c>
      <c r="L67" s="339"/>
      <c r="M67" s="383"/>
      <c r="N67" s="255"/>
      <c r="O67" s="340">
        <v>0</v>
      </c>
      <c r="P67" s="341">
        <v>0</v>
      </c>
      <c r="Q67" s="341">
        <v>0</v>
      </c>
      <c r="R67" s="342">
        <v>0</v>
      </c>
      <c r="S67" s="242"/>
      <c r="T67" s="340">
        <v>0</v>
      </c>
      <c r="U67" s="341">
        <v>0</v>
      </c>
      <c r="V67" s="341">
        <v>0</v>
      </c>
      <c r="W67" s="342">
        <v>0</v>
      </c>
    </row>
    <row r="68" spans="1:23" ht="14.25" customHeight="1" x14ac:dyDescent="0.2">
      <c r="A68" s="265" t="s">
        <v>111</v>
      </c>
      <c r="B68" s="298"/>
      <c r="C68" s="248" t="s">
        <v>45</v>
      </c>
      <c r="D68" s="248"/>
      <c r="E68" s="248" t="s">
        <v>19</v>
      </c>
      <c r="F68" s="250">
        <v>4500</v>
      </c>
      <c r="G68" s="250">
        <v>25000</v>
      </c>
      <c r="H68" s="248" t="s">
        <v>26</v>
      </c>
      <c r="I68" s="248" t="s">
        <v>223</v>
      </c>
      <c r="J68" s="328">
        <v>42142</v>
      </c>
      <c r="K68" s="328">
        <v>43237</v>
      </c>
      <c r="L68" s="255">
        <v>335000</v>
      </c>
      <c r="M68" s="256">
        <v>377000</v>
      </c>
      <c r="N68" s="255"/>
      <c r="O68" s="318">
        <v>45.979166666666664</v>
      </c>
      <c r="P68" s="242">
        <v>17</v>
      </c>
      <c r="Q68" s="242">
        <v>0</v>
      </c>
      <c r="R68" s="327">
        <v>0</v>
      </c>
      <c r="S68" s="242"/>
      <c r="T68" s="318">
        <v>0</v>
      </c>
      <c r="U68" s="242">
        <v>0</v>
      </c>
      <c r="V68" s="242">
        <v>0</v>
      </c>
      <c r="W68" s="327">
        <v>0</v>
      </c>
    </row>
    <row r="69" spans="1:23" ht="14.25" customHeight="1" x14ac:dyDescent="0.2">
      <c r="A69" s="265"/>
      <c r="B69" s="298" t="s">
        <v>4</v>
      </c>
      <c r="C69" s="248"/>
      <c r="D69" s="248"/>
      <c r="E69" s="248"/>
      <c r="F69" s="250"/>
      <c r="G69" s="250"/>
      <c r="H69" s="248" t="s">
        <v>26</v>
      </c>
      <c r="I69" s="248" t="s">
        <v>223</v>
      </c>
      <c r="J69" s="328">
        <v>43238</v>
      </c>
      <c r="K69" s="328">
        <v>43602</v>
      </c>
      <c r="L69" s="255">
        <v>305000</v>
      </c>
      <c r="M69" s="256">
        <v>335000</v>
      </c>
      <c r="N69" s="255"/>
      <c r="O69" s="318"/>
      <c r="P69" s="242"/>
      <c r="Q69" s="242"/>
      <c r="R69" s="327"/>
      <c r="S69" s="242"/>
      <c r="T69" s="318"/>
      <c r="U69" s="242"/>
      <c r="V69" s="242"/>
      <c r="W69" s="327"/>
    </row>
    <row r="70" spans="1:23" s="243" customFormat="1" ht="14.25" customHeight="1" x14ac:dyDescent="0.2">
      <c r="A70" s="434" t="s">
        <v>113</v>
      </c>
      <c r="B70" s="401">
        <v>-7</v>
      </c>
      <c r="C70" s="336" t="s">
        <v>45</v>
      </c>
      <c r="D70" s="336"/>
      <c r="E70" s="336">
        <v>1990</v>
      </c>
      <c r="F70" s="338">
        <v>2000</v>
      </c>
      <c r="G70" s="338">
        <v>25000</v>
      </c>
      <c r="H70" s="336" t="s">
        <v>26</v>
      </c>
      <c r="I70" s="336" t="s">
        <v>39</v>
      </c>
      <c r="J70" s="381">
        <v>42328</v>
      </c>
      <c r="K70" s="381">
        <v>42446</v>
      </c>
      <c r="L70" s="429">
        <v>435000</v>
      </c>
      <c r="M70" s="383">
        <v>433000</v>
      </c>
      <c r="N70" s="255"/>
      <c r="O70" s="340">
        <v>0</v>
      </c>
      <c r="P70" s="341">
        <v>0</v>
      </c>
      <c r="Q70" s="448">
        <v>20</v>
      </c>
      <c r="R70" s="488">
        <v>72</v>
      </c>
      <c r="S70" s="242"/>
      <c r="T70" s="340">
        <v>0</v>
      </c>
      <c r="U70" s="341">
        <v>0</v>
      </c>
      <c r="V70" s="341">
        <v>0</v>
      </c>
      <c r="W70" s="342">
        <v>0</v>
      </c>
    </row>
    <row r="71" spans="1:23" s="243" customFormat="1" ht="14.25" customHeight="1" x14ac:dyDescent="0.2">
      <c r="A71" s="405"/>
      <c r="B71" s="401">
        <v>-7</v>
      </c>
      <c r="C71" s="336"/>
      <c r="D71" s="336"/>
      <c r="E71" s="336"/>
      <c r="F71" s="338"/>
      <c r="G71" s="338"/>
      <c r="H71" s="336" t="s">
        <v>26</v>
      </c>
      <c r="I71" s="336" t="s">
        <v>39</v>
      </c>
      <c r="J71" s="381">
        <v>42430</v>
      </c>
      <c r="K71" s="381">
        <v>42614</v>
      </c>
      <c r="L71" s="429">
        <v>442000</v>
      </c>
      <c r="M71" s="440">
        <f>L70</f>
        <v>435000</v>
      </c>
      <c r="N71" s="255"/>
      <c r="O71" s="340"/>
      <c r="P71" s="341"/>
      <c r="Q71" s="341"/>
      <c r="R71" s="342"/>
      <c r="S71" s="242"/>
      <c r="T71" s="340"/>
      <c r="U71" s="341"/>
      <c r="V71" s="341"/>
      <c r="W71" s="342"/>
    </row>
    <row r="72" spans="1:23" s="243" customFormat="1" ht="14.25" customHeight="1" x14ac:dyDescent="0.2">
      <c r="A72" s="405"/>
      <c r="B72" s="335">
        <v>-7</v>
      </c>
      <c r="C72" s="336"/>
      <c r="D72" s="336"/>
      <c r="E72" s="336"/>
      <c r="F72" s="338"/>
      <c r="G72" s="338"/>
      <c r="H72" s="336" t="s">
        <v>26</v>
      </c>
      <c r="I72" s="336" t="s">
        <v>39</v>
      </c>
      <c r="J72" s="381">
        <v>42614</v>
      </c>
      <c r="K72" s="381">
        <v>42795</v>
      </c>
      <c r="L72" s="429">
        <v>449000</v>
      </c>
      <c r="M72" s="440">
        <f>L71</f>
        <v>442000</v>
      </c>
      <c r="N72" s="255"/>
      <c r="O72" s="340"/>
      <c r="P72" s="341"/>
      <c r="Q72" s="341"/>
      <c r="R72" s="342"/>
      <c r="S72" s="242"/>
      <c r="T72" s="340"/>
      <c r="U72" s="341"/>
      <c r="V72" s="341"/>
      <c r="W72" s="342"/>
    </row>
    <row r="73" spans="1:23" s="243" customFormat="1" ht="14.25" customHeight="1" x14ac:dyDescent="0.2">
      <c r="A73" s="405"/>
      <c r="B73" s="335">
        <v>-7</v>
      </c>
      <c r="C73" s="336"/>
      <c r="D73" s="336"/>
      <c r="E73" s="336"/>
      <c r="F73" s="338"/>
      <c r="G73" s="338"/>
      <c r="H73" s="336" t="s">
        <v>26</v>
      </c>
      <c r="I73" s="336" t="s">
        <v>39</v>
      </c>
      <c r="J73" s="381">
        <v>42795</v>
      </c>
      <c r="K73" s="381">
        <v>42887</v>
      </c>
      <c r="L73" s="429">
        <v>455000</v>
      </c>
      <c r="M73" s="440">
        <f>L72</f>
        <v>449000</v>
      </c>
      <c r="N73" s="255"/>
      <c r="O73" s="340"/>
      <c r="P73" s="341"/>
      <c r="Q73" s="341"/>
      <c r="R73" s="342"/>
      <c r="S73" s="242"/>
      <c r="T73" s="340"/>
      <c r="U73" s="341"/>
      <c r="V73" s="341"/>
      <c r="W73" s="342"/>
    </row>
    <row r="74" spans="1:23" s="243" customFormat="1" ht="25.5" customHeight="1" x14ac:dyDescent="0.2">
      <c r="A74" s="441" t="s">
        <v>114</v>
      </c>
      <c r="B74" s="519" t="s">
        <v>257</v>
      </c>
      <c r="C74" s="248" t="s">
        <v>45</v>
      </c>
      <c r="D74" s="248"/>
      <c r="E74" s="248">
        <v>1986</v>
      </c>
      <c r="F74" s="250">
        <v>1650</v>
      </c>
      <c r="G74" s="250">
        <v>25000</v>
      </c>
      <c r="H74" s="248" t="s">
        <v>28</v>
      </c>
      <c r="I74" s="248" t="s">
        <v>73</v>
      </c>
      <c r="J74" s="328">
        <v>41851</v>
      </c>
      <c r="K74" s="328">
        <v>42460</v>
      </c>
      <c r="L74" s="427">
        <v>373000</v>
      </c>
      <c r="M74" s="256">
        <v>414000</v>
      </c>
      <c r="N74" s="255"/>
      <c r="O74" s="318">
        <v>0</v>
      </c>
      <c r="P74" s="242">
        <v>0</v>
      </c>
      <c r="Q74" s="242">
        <v>0</v>
      </c>
      <c r="R74" s="327">
        <v>0</v>
      </c>
      <c r="S74" s="242"/>
      <c r="T74" s="318">
        <v>0</v>
      </c>
      <c r="U74" s="242">
        <v>0</v>
      </c>
      <c r="V74" s="242">
        <v>0</v>
      </c>
      <c r="W74" s="327">
        <v>0</v>
      </c>
    </row>
    <row r="75" spans="1:23" s="243" customFormat="1" ht="14.25" customHeight="1" x14ac:dyDescent="0.2">
      <c r="A75" s="405" t="s">
        <v>147</v>
      </c>
      <c r="B75" s="335">
        <v>-6</v>
      </c>
      <c r="C75" s="336" t="s">
        <v>45</v>
      </c>
      <c r="D75" s="336"/>
      <c r="E75" s="336">
        <v>1985</v>
      </c>
      <c r="F75" s="338">
        <v>1500</v>
      </c>
      <c r="G75" s="338">
        <v>25000</v>
      </c>
      <c r="H75" s="336" t="s">
        <v>189</v>
      </c>
      <c r="I75" s="336" t="s">
        <v>31</v>
      </c>
      <c r="J75" s="381">
        <v>42302</v>
      </c>
      <c r="K75" s="381">
        <v>42369</v>
      </c>
      <c r="L75" s="339">
        <v>561000</v>
      </c>
      <c r="M75" s="383">
        <v>624000</v>
      </c>
      <c r="N75" s="255"/>
      <c r="O75" s="340">
        <v>0</v>
      </c>
      <c r="P75" s="341">
        <v>0</v>
      </c>
      <c r="Q75" s="341">
        <v>0</v>
      </c>
      <c r="R75" s="342">
        <v>0</v>
      </c>
      <c r="S75" s="242"/>
      <c r="T75" s="340">
        <v>0</v>
      </c>
      <c r="U75" s="341">
        <v>0</v>
      </c>
      <c r="V75" s="341">
        <v>0</v>
      </c>
      <c r="W75" s="342">
        <v>0</v>
      </c>
    </row>
    <row r="76" spans="1:23" s="243" customFormat="1" ht="14.25" customHeight="1" x14ac:dyDescent="0.2">
      <c r="A76" s="405"/>
      <c r="B76" s="335">
        <v>-6</v>
      </c>
      <c r="C76" s="336"/>
      <c r="D76" s="336"/>
      <c r="E76" s="336"/>
      <c r="F76" s="338"/>
      <c r="G76" s="338"/>
      <c r="H76" s="336" t="s">
        <v>189</v>
      </c>
      <c r="I76" s="336" t="s">
        <v>31</v>
      </c>
      <c r="J76" s="381">
        <v>42369</v>
      </c>
      <c r="K76" s="381">
        <v>42490</v>
      </c>
      <c r="L76" s="339">
        <v>593000</v>
      </c>
      <c r="M76" s="383">
        <v>561000</v>
      </c>
      <c r="N76" s="255"/>
      <c r="O76" s="340"/>
      <c r="P76" s="341"/>
      <c r="Q76" s="341"/>
      <c r="R76" s="342"/>
      <c r="S76" s="242"/>
      <c r="T76" s="340"/>
      <c r="U76" s="341"/>
      <c r="V76" s="341"/>
      <c r="W76" s="342"/>
    </row>
    <row r="77" spans="1:23" s="243" customFormat="1" ht="14.25" customHeight="1" x14ac:dyDescent="0.2">
      <c r="A77" s="405"/>
      <c r="B77" s="335">
        <v>-6</v>
      </c>
      <c r="C77" s="336"/>
      <c r="D77" s="336"/>
      <c r="E77" s="336"/>
      <c r="F77" s="338"/>
      <c r="G77" s="338"/>
      <c r="H77" s="336" t="s">
        <v>189</v>
      </c>
      <c r="I77" s="336" t="s">
        <v>31</v>
      </c>
      <c r="J77" s="381">
        <v>42490</v>
      </c>
      <c r="K77" s="381">
        <v>42549</v>
      </c>
      <c r="L77" s="339">
        <v>561000</v>
      </c>
      <c r="M77" s="383">
        <v>593000</v>
      </c>
      <c r="N77" s="255"/>
      <c r="O77" s="340"/>
      <c r="P77" s="341"/>
      <c r="Q77" s="341"/>
      <c r="R77" s="342"/>
      <c r="S77" s="242"/>
      <c r="T77" s="340"/>
      <c r="U77" s="341"/>
      <c r="V77" s="341"/>
      <c r="W77" s="342"/>
    </row>
    <row r="78" spans="1:23" s="243" customFormat="1" ht="14.25" customHeight="1" x14ac:dyDescent="0.2">
      <c r="A78" s="405"/>
      <c r="B78" s="335">
        <v>-6</v>
      </c>
      <c r="C78" s="336"/>
      <c r="D78" s="336"/>
      <c r="E78" s="336"/>
      <c r="F78" s="338"/>
      <c r="G78" s="338"/>
      <c r="H78" s="336" t="s">
        <v>189</v>
      </c>
      <c r="I78" s="336" t="s">
        <v>31</v>
      </c>
      <c r="J78" s="381">
        <v>42549</v>
      </c>
      <c r="K78" s="381">
        <v>42668</v>
      </c>
      <c r="L78" s="339">
        <v>624000</v>
      </c>
      <c r="M78" s="383">
        <v>561000</v>
      </c>
      <c r="N78" s="255"/>
      <c r="O78" s="340"/>
      <c r="P78" s="341"/>
      <c r="Q78" s="341"/>
      <c r="R78" s="342"/>
      <c r="S78" s="242"/>
      <c r="T78" s="340"/>
      <c r="U78" s="341"/>
      <c r="V78" s="341"/>
      <c r="W78" s="342"/>
    </row>
    <row r="79" spans="1:23" s="243" customFormat="1" ht="14.25" customHeight="1" x14ac:dyDescent="0.2">
      <c r="A79" s="405"/>
      <c r="B79" s="335">
        <v>-6</v>
      </c>
      <c r="C79" s="336"/>
      <c r="D79" s="336"/>
      <c r="E79" s="336"/>
      <c r="F79" s="338"/>
      <c r="G79" s="338"/>
      <c r="H79" s="336" t="s">
        <v>189</v>
      </c>
      <c r="I79" s="336" t="s">
        <v>31</v>
      </c>
      <c r="J79" s="381">
        <v>42668</v>
      </c>
      <c r="K79" s="381">
        <v>42735</v>
      </c>
      <c r="L79" s="339">
        <v>561000</v>
      </c>
      <c r="M79" s="383">
        <v>624000</v>
      </c>
      <c r="N79" s="255"/>
      <c r="O79" s="340"/>
      <c r="P79" s="341"/>
      <c r="Q79" s="341"/>
      <c r="R79" s="342"/>
      <c r="S79" s="242"/>
      <c r="T79" s="340"/>
      <c r="U79" s="341"/>
      <c r="V79" s="341"/>
      <c r="W79" s="342"/>
    </row>
    <row r="80" spans="1:23" s="243" customFormat="1" ht="14.25" customHeight="1" x14ac:dyDescent="0.2">
      <c r="A80" s="409"/>
      <c r="B80" s="199">
        <v>-6</v>
      </c>
      <c r="C80" s="203"/>
      <c r="D80" s="203"/>
      <c r="E80" s="203"/>
      <c r="F80" s="205"/>
      <c r="G80" s="205"/>
      <c r="H80" s="203" t="s">
        <v>189</v>
      </c>
      <c r="I80" s="203" t="s">
        <v>31</v>
      </c>
      <c r="J80" s="410">
        <v>42735</v>
      </c>
      <c r="K80" s="410">
        <v>42916</v>
      </c>
      <c r="L80" s="206">
        <v>593000</v>
      </c>
      <c r="M80" s="411">
        <v>561000</v>
      </c>
      <c r="N80" s="255"/>
      <c r="O80" s="207"/>
      <c r="P80" s="208"/>
      <c r="Q80" s="208"/>
      <c r="R80" s="209"/>
      <c r="S80" s="242"/>
      <c r="T80" s="207"/>
      <c r="U80" s="208"/>
      <c r="V80" s="208"/>
      <c r="W80" s="209"/>
    </row>
    <row r="81" spans="1:23" s="243" customFormat="1" ht="6" customHeight="1" x14ac:dyDescent="0.2">
      <c r="A81" s="289"/>
      <c r="B81" s="329"/>
      <c r="C81" s="248"/>
      <c r="D81" s="248"/>
      <c r="E81" s="248"/>
      <c r="F81" s="250"/>
      <c r="G81" s="250"/>
      <c r="H81" s="248"/>
      <c r="I81" s="248"/>
      <c r="J81" s="104"/>
      <c r="K81" s="104"/>
      <c r="L81" s="247"/>
      <c r="M81" s="247"/>
      <c r="N81" s="247"/>
      <c r="O81" s="317"/>
      <c r="P81" s="253"/>
      <c r="Q81" s="253"/>
      <c r="R81" s="267"/>
      <c r="S81" s="253"/>
      <c r="T81" s="317"/>
      <c r="U81" s="253"/>
      <c r="V81" s="253"/>
      <c r="W81" s="267"/>
    </row>
    <row r="82" spans="1:23" s="243" customFormat="1" x14ac:dyDescent="0.2">
      <c r="A82" s="417"/>
      <c r="B82" s="255"/>
      <c r="C82" s="248"/>
      <c r="D82" s="248"/>
      <c r="E82" s="248"/>
      <c r="F82" s="250"/>
      <c r="G82" s="250"/>
      <c r="H82" s="248"/>
      <c r="I82" s="248"/>
      <c r="J82" s="104"/>
      <c r="K82" s="104"/>
      <c r="L82" s="247"/>
      <c r="M82" s="151" t="s">
        <v>69</v>
      </c>
      <c r="N82" s="151"/>
      <c r="O82" s="173">
        <f>SUM(O64:O80)</f>
        <v>88.364583333333329</v>
      </c>
      <c r="P82" s="44">
        <f>SUM(P64:P80)</f>
        <v>17</v>
      </c>
      <c r="Q82" s="44">
        <f>SUM(Q64:Q80)</f>
        <v>20</v>
      </c>
      <c r="R82" s="194">
        <f>SUM(R64:R80)</f>
        <v>72</v>
      </c>
      <c r="S82" s="253"/>
      <c r="T82" s="173">
        <f>SUM(T64:T80)</f>
        <v>0</v>
      </c>
      <c r="U82" s="44">
        <f>SUM(U64:U80)</f>
        <v>0</v>
      </c>
      <c r="V82" s="44">
        <f>SUM(V64:V80)</f>
        <v>0</v>
      </c>
      <c r="W82" s="194">
        <f>SUM(W64:W80)</f>
        <v>0</v>
      </c>
    </row>
    <row r="83" spans="1:23" s="243" customFormat="1" ht="14.25" x14ac:dyDescent="0.2">
      <c r="A83" s="417"/>
      <c r="B83" s="255"/>
      <c r="C83" s="248"/>
      <c r="D83" s="248"/>
      <c r="E83" s="248"/>
      <c r="F83" s="250"/>
      <c r="G83" s="250"/>
      <c r="H83" s="248"/>
      <c r="I83" s="248"/>
      <c r="J83" s="104"/>
      <c r="K83" s="104"/>
      <c r="L83" s="247"/>
      <c r="M83" s="151" t="s">
        <v>9</v>
      </c>
      <c r="N83" s="151"/>
      <c r="O83" s="174">
        <v>469000</v>
      </c>
      <c r="P83" s="170">
        <v>466000</v>
      </c>
      <c r="Q83" s="170">
        <v>463000</v>
      </c>
      <c r="R83" s="195">
        <v>396000</v>
      </c>
      <c r="S83" s="220"/>
      <c r="T83" s="174">
        <v>438000</v>
      </c>
      <c r="U83" s="170">
        <v>428000</v>
      </c>
      <c r="V83" s="170">
        <v>467000</v>
      </c>
      <c r="W83" s="195">
        <v>420000</v>
      </c>
    </row>
    <row r="84" spans="1:23" s="243" customFormat="1" ht="6" customHeight="1" x14ac:dyDescent="0.2">
      <c r="A84" s="137"/>
      <c r="B84" s="255"/>
      <c r="C84" s="129"/>
      <c r="D84" s="107"/>
      <c r="E84" s="108"/>
      <c r="F84" s="109"/>
      <c r="G84" s="109"/>
      <c r="H84" s="110"/>
      <c r="I84" s="104"/>
      <c r="J84" s="169"/>
      <c r="K84" s="104"/>
      <c r="L84" s="111"/>
      <c r="M84" s="171"/>
      <c r="N84" s="111"/>
      <c r="O84" s="317"/>
      <c r="P84" s="253"/>
      <c r="Q84" s="253"/>
      <c r="R84" s="267"/>
      <c r="S84" s="253"/>
      <c r="T84" s="317"/>
      <c r="U84" s="253"/>
      <c r="V84" s="253"/>
      <c r="W84" s="267"/>
    </row>
    <row r="85" spans="1:23" ht="15" x14ac:dyDescent="0.2">
      <c r="A85" s="278" t="s">
        <v>233</v>
      </c>
      <c r="B85" s="284"/>
      <c r="C85" s="280"/>
      <c r="D85" s="281"/>
      <c r="E85" s="282"/>
      <c r="F85" s="281"/>
      <c r="G85" s="281"/>
      <c r="H85" s="281"/>
      <c r="I85" s="281"/>
      <c r="J85" s="306"/>
      <c r="K85" s="306"/>
      <c r="L85" s="310"/>
      <c r="M85" s="311"/>
      <c r="N85" s="299"/>
      <c r="O85" s="283"/>
      <c r="P85" s="257"/>
      <c r="Q85" s="257"/>
      <c r="R85" s="362"/>
      <c r="S85" s="305"/>
      <c r="T85" s="283"/>
      <c r="U85" s="257"/>
      <c r="V85" s="257"/>
      <c r="W85" s="258"/>
    </row>
    <row r="86" spans="1:23" s="243" customFormat="1" ht="6" customHeight="1" x14ac:dyDescent="0.2">
      <c r="A86" s="367"/>
      <c r="B86" s="368"/>
      <c r="C86" s="369"/>
      <c r="D86" s="369"/>
      <c r="E86" s="370"/>
      <c r="F86" s="371"/>
      <c r="G86" s="371"/>
      <c r="H86" s="372"/>
      <c r="I86" s="373"/>
      <c r="J86" s="373"/>
      <c r="K86" s="373"/>
      <c r="L86" s="374"/>
      <c r="M86" s="375"/>
      <c r="N86" s="111"/>
      <c r="O86" s="216"/>
      <c r="P86" s="217"/>
      <c r="Q86" s="217"/>
      <c r="R86" s="218"/>
      <c r="S86" s="253"/>
      <c r="T86" s="216"/>
      <c r="U86" s="217"/>
      <c r="V86" s="217"/>
      <c r="W86" s="218"/>
    </row>
    <row r="87" spans="1:23" s="243" customFormat="1" ht="15.2" customHeight="1" x14ac:dyDescent="0.2">
      <c r="A87" s="102" t="s">
        <v>141</v>
      </c>
      <c r="B87" s="276" t="s">
        <v>225</v>
      </c>
      <c r="C87" s="248" t="s">
        <v>44</v>
      </c>
      <c r="D87" s="264" t="s">
        <v>51</v>
      </c>
      <c r="E87" s="248" t="s">
        <v>0</v>
      </c>
      <c r="F87" s="250">
        <v>7200</v>
      </c>
      <c r="G87" s="250">
        <v>25000</v>
      </c>
      <c r="H87" s="248" t="s">
        <v>27</v>
      </c>
      <c r="I87" s="248" t="s">
        <v>29</v>
      </c>
      <c r="J87" s="328">
        <v>40664</v>
      </c>
      <c r="K87" s="328">
        <v>42420</v>
      </c>
      <c r="L87" s="255">
        <v>361000</v>
      </c>
      <c r="M87" s="256">
        <v>190000</v>
      </c>
      <c r="N87" s="255"/>
      <c r="O87" s="318">
        <v>0</v>
      </c>
      <c r="P87" s="241">
        <v>0</v>
      </c>
      <c r="Q87" s="241">
        <v>0</v>
      </c>
      <c r="R87" s="325">
        <v>0</v>
      </c>
      <c r="S87" s="242"/>
      <c r="T87" s="318">
        <v>0</v>
      </c>
      <c r="U87" s="242">
        <v>0</v>
      </c>
      <c r="V87" s="241">
        <v>0</v>
      </c>
      <c r="W87" s="325">
        <v>0</v>
      </c>
    </row>
    <row r="88" spans="1:23" s="243" customFormat="1" x14ac:dyDescent="0.2">
      <c r="A88" s="400" t="s">
        <v>143</v>
      </c>
      <c r="B88" s="401"/>
      <c r="C88" s="336" t="s">
        <v>45</v>
      </c>
      <c r="D88" s="337"/>
      <c r="E88" s="336" t="s">
        <v>179</v>
      </c>
      <c r="F88" s="338">
        <v>7000</v>
      </c>
      <c r="G88" s="338">
        <v>30000</v>
      </c>
      <c r="H88" s="336"/>
      <c r="I88" s="336"/>
      <c r="J88" s="381"/>
      <c r="K88" s="381" t="s">
        <v>185</v>
      </c>
      <c r="L88" s="339"/>
      <c r="M88" s="383"/>
      <c r="N88" s="255"/>
      <c r="O88" s="340">
        <v>0</v>
      </c>
      <c r="P88" s="341">
        <v>0</v>
      </c>
      <c r="Q88" s="341">
        <v>0</v>
      </c>
      <c r="R88" s="342">
        <v>0</v>
      </c>
      <c r="S88" s="242"/>
      <c r="T88" s="340">
        <v>0</v>
      </c>
      <c r="U88" s="341">
        <v>0</v>
      </c>
      <c r="V88" s="341">
        <v>0</v>
      </c>
      <c r="W88" s="342">
        <v>0</v>
      </c>
    </row>
    <row r="89" spans="1:23" s="243" customFormat="1" ht="14.25" customHeight="1" x14ac:dyDescent="0.2">
      <c r="A89" s="441" t="s">
        <v>144</v>
      </c>
      <c r="B89" s="298" t="s">
        <v>125</v>
      </c>
      <c r="C89" s="248" t="s">
        <v>45</v>
      </c>
      <c r="D89" s="264" t="s">
        <v>51</v>
      </c>
      <c r="E89" s="248" t="s">
        <v>12</v>
      </c>
      <c r="F89" s="250">
        <v>6500</v>
      </c>
      <c r="G89" s="250">
        <v>25000</v>
      </c>
      <c r="H89" s="248" t="s">
        <v>27</v>
      </c>
      <c r="I89" s="248" t="s">
        <v>29</v>
      </c>
      <c r="J89" s="328">
        <v>41760</v>
      </c>
      <c r="K89" s="328">
        <v>42614</v>
      </c>
      <c r="L89" s="427">
        <v>277000</v>
      </c>
      <c r="M89" s="256">
        <v>361000</v>
      </c>
      <c r="N89" s="255"/>
      <c r="O89" s="318">
        <v>0</v>
      </c>
      <c r="P89" s="242">
        <v>55.5</v>
      </c>
      <c r="Q89" s="244">
        <v>3</v>
      </c>
      <c r="R89" s="327">
        <v>0</v>
      </c>
      <c r="S89" s="242"/>
      <c r="T89" s="318">
        <v>0</v>
      </c>
      <c r="U89" s="242">
        <v>0</v>
      </c>
      <c r="V89" s="242">
        <v>0</v>
      </c>
      <c r="W89" s="327">
        <v>0</v>
      </c>
    </row>
    <row r="90" spans="1:23" s="243" customFormat="1" x14ac:dyDescent="0.2">
      <c r="A90" s="496" t="s">
        <v>160</v>
      </c>
      <c r="B90" s="401" t="s">
        <v>116</v>
      </c>
      <c r="C90" s="336" t="s">
        <v>45</v>
      </c>
      <c r="D90" s="337" t="s">
        <v>51</v>
      </c>
      <c r="E90" s="336" t="s">
        <v>57</v>
      </c>
      <c r="F90" s="338">
        <v>6500</v>
      </c>
      <c r="G90" s="338">
        <v>25000</v>
      </c>
      <c r="H90" s="336" t="s">
        <v>30</v>
      </c>
      <c r="I90" s="336" t="s">
        <v>31</v>
      </c>
      <c r="J90" s="381">
        <v>41153</v>
      </c>
      <c r="K90" s="381">
        <v>42401</v>
      </c>
      <c r="L90" s="339">
        <v>461000</v>
      </c>
      <c r="M90" s="383">
        <v>357000</v>
      </c>
      <c r="N90" s="255"/>
      <c r="O90" s="340">
        <v>0</v>
      </c>
      <c r="P90" s="341">
        <v>0</v>
      </c>
      <c r="Q90" s="341">
        <v>0</v>
      </c>
      <c r="R90" s="342">
        <v>0</v>
      </c>
      <c r="S90" s="242"/>
      <c r="T90" s="340">
        <v>0</v>
      </c>
      <c r="U90" s="341">
        <v>0</v>
      </c>
      <c r="V90" s="341">
        <v>0</v>
      </c>
      <c r="W90" s="342">
        <v>0</v>
      </c>
    </row>
    <row r="91" spans="1:23" s="243" customFormat="1" ht="14.25" customHeight="1" x14ac:dyDescent="0.2">
      <c r="A91" s="102" t="s">
        <v>40</v>
      </c>
      <c r="B91" s="276"/>
      <c r="C91" s="248" t="s">
        <v>45</v>
      </c>
      <c r="D91" s="248"/>
      <c r="E91" s="248" t="s">
        <v>41</v>
      </c>
      <c r="F91" s="250">
        <v>5400</v>
      </c>
      <c r="G91" s="250">
        <v>30000</v>
      </c>
      <c r="H91" s="248" t="s">
        <v>34</v>
      </c>
      <c r="I91" s="248" t="s">
        <v>213</v>
      </c>
      <c r="J91" s="328">
        <v>42036</v>
      </c>
      <c r="K91" s="328">
        <v>42418</v>
      </c>
      <c r="L91" s="290">
        <v>370000</v>
      </c>
      <c r="M91" s="256">
        <v>420000</v>
      </c>
      <c r="N91" s="273"/>
      <c r="O91" s="317">
        <v>0</v>
      </c>
      <c r="P91" s="253">
        <v>0</v>
      </c>
      <c r="Q91" s="253">
        <v>0</v>
      </c>
      <c r="R91" s="267">
        <v>0</v>
      </c>
      <c r="S91" s="253"/>
      <c r="T91" s="317">
        <v>0</v>
      </c>
      <c r="U91" s="253">
        <v>0</v>
      </c>
      <c r="V91" s="253">
        <v>0</v>
      </c>
      <c r="W91" s="267">
        <v>0</v>
      </c>
    </row>
    <row r="92" spans="1:23" s="243" customFormat="1" ht="14.25" customHeight="1" x14ac:dyDescent="0.2">
      <c r="A92" s="497" t="s">
        <v>145</v>
      </c>
      <c r="B92" s="199"/>
      <c r="C92" s="203" t="s">
        <v>45</v>
      </c>
      <c r="D92" s="203"/>
      <c r="E92" s="203" t="s">
        <v>42</v>
      </c>
      <c r="F92" s="205">
        <v>5000</v>
      </c>
      <c r="G92" s="205">
        <v>25000</v>
      </c>
      <c r="H92" s="203"/>
      <c r="I92" s="203"/>
      <c r="J92" s="410"/>
      <c r="K92" s="410" t="s">
        <v>185</v>
      </c>
      <c r="L92" s="498"/>
      <c r="M92" s="411"/>
      <c r="N92" s="273"/>
      <c r="O92" s="491">
        <v>0</v>
      </c>
      <c r="P92" s="492">
        <v>0</v>
      </c>
      <c r="Q92" s="492">
        <v>0</v>
      </c>
      <c r="R92" s="493">
        <v>0</v>
      </c>
      <c r="S92" s="253"/>
      <c r="T92" s="491">
        <v>0</v>
      </c>
      <c r="U92" s="492">
        <v>0</v>
      </c>
      <c r="V92" s="492">
        <v>0</v>
      </c>
      <c r="W92" s="493">
        <v>0</v>
      </c>
    </row>
    <row r="93" spans="1:23" ht="6" customHeight="1" x14ac:dyDescent="0.2">
      <c r="A93" s="243"/>
      <c r="B93" s="127"/>
      <c r="C93" s="243"/>
      <c r="D93" s="243"/>
      <c r="E93" s="243"/>
      <c r="F93" s="243"/>
      <c r="G93" s="243"/>
      <c r="H93" s="243"/>
      <c r="I93" s="243"/>
      <c r="J93" s="326"/>
      <c r="K93" s="326"/>
      <c r="L93" s="294"/>
      <c r="M93" s="294"/>
      <c r="O93" s="324"/>
      <c r="P93" s="241"/>
      <c r="Q93" s="241"/>
      <c r="R93" s="325"/>
      <c r="S93" s="241"/>
      <c r="T93" s="324"/>
      <c r="U93" s="241"/>
      <c r="V93" s="241"/>
      <c r="W93" s="325"/>
    </row>
    <row r="94" spans="1:23" s="243" customFormat="1" x14ac:dyDescent="0.2">
      <c r="A94" s="417"/>
      <c r="B94" s="255"/>
      <c r="C94" s="248"/>
      <c r="D94" s="103"/>
      <c r="E94" s="248"/>
      <c r="F94" s="250"/>
      <c r="G94" s="250"/>
      <c r="H94" s="141"/>
      <c r="J94" s="333"/>
      <c r="K94" s="104"/>
      <c r="L94" s="247"/>
      <c r="M94" s="151" t="s">
        <v>69</v>
      </c>
      <c r="N94" s="151"/>
      <c r="O94" s="173">
        <f>SUM(O87:O92)</f>
        <v>0</v>
      </c>
      <c r="P94" s="44">
        <f>SUM(P87:P92)</f>
        <v>55.5</v>
      </c>
      <c r="Q94" s="44">
        <f>SUM(Q87:Q92)</f>
        <v>3</v>
      </c>
      <c r="R94" s="194">
        <f>SUM(R87:R92)</f>
        <v>0</v>
      </c>
      <c r="S94" s="253"/>
      <c r="T94" s="173">
        <f>SUM(T87:T92)</f>
        <v>0</v>
      </c>
      <c r="U94" s="44">
        <f>SUM(U87:U92)</f>
        <v>0</v>
      </c>
      <c r="V94" s="44">
        <f>SUM(V87:V92)</f>
        <v>0</v>
      </c>
      <c r="W94" s="194">
        <f>SUM(W87:W92)</f>
        <v>0</v>
      </c>
    </row>
    <row r="95" spans="1:23" s="243" customFormat="1" ht="14.25" x14ac:dyDescent="0.2">
      <c r="A95" s="417"/>
      <c r="B95" s="255"/>
      <c r="C95" s="248"/>
      <c r="D95" s="103"/>
      <c r="E95" s="248"/>
      <c r="F95" s="250"/>
      <c r="G95" s="250"/>
      <c r="H95" s="248"/>
      <c r="J95" s="333"/>
      <c r="K95" s="104"/>
      <c r="L95" s="247"/>
      <c r="M95" s="151" t="s">
        <v>9</v>
      </c>
      <c r="N95" s="151"/>
      <c r="O95" s="174">
        <v>348000</v>
      </c>
      <c r="P95" s="170">
        <v>361000</v>
      </c>
      <c r="Q95" s="170">
        <v>357000</v>
      </c>
      <c r="R95" s="195">
        <v>367000</v>
      </c>
      <c r="S95" s="220"/>
      <c r="T95" s="174">
        <v>350000</v>
      </c>
      <c r="U95" s="170">
        <v>277000</v>
      </c>
      <c r="V95" s="170">
        <v>277000</v>
      </c>
      <c r="W95" s="195">
        <v>277000</v>
      </c>
    </row>
    <row r="96" spans="1:23" s="243" customFormat="1" ht="6" customHeight="1" x14ac:dyDescent="0.2">
      <c r="A96" s="388"/>
      <c r="B96" s="344"/>
      <c r="C96" s="129"/>
      <c r="D96" s="107"/>
      <c r="E96" s="108"/>
      <c r="F96" s="109"/>
      <c r="G96" s="109"/>
      <c r="H96" s="110"/>
      <c r="I96" s="104"/>
      <c r="J96" s="104"/>
      <c r="K96" s="104"/>
      <c r="L96" s="111"/>
      <c r="M96" s="159"/>
      <c r="N96" s="111"/>
      <c r="O96" s="324"/>
      <c r="P96" s="241"/>
      <c r="Q96" s="241"/>
      <c r="R96" s="325"/>
      <c r="S96" s="241"/>
      <c r="T96" s="324"/>
      <c r="U96" s="241"/>
      <c r="V96" s="241"/>
      <c r="W96" s="325"/>
    </row>
    <row r="97" spans="1:23" s="243" customFormat="1" ht="14.25" customHeight="1" x14ac:dyDescent="0.2">
      <c r="A97" s="278" t="s">
        <v>245</v>
      </c>
      <c r="B97" s="284"/>
      <c r="C97" s="280"/>
      <c r="D97" s="281"/>
      <c r="E97" s="282"/>
      <c r="F97" s="281"/>
      <c r="G97" s="281"/>
      <c r="H97" s="281"/>
      <c r="I97" s="281"/>
      <c r="J97" s="306"/>
      <c r="K97" s="306"/>
      <c r="L97" s="310"/>
      <c r="M97" s="311"/>
      <c r="N97" s="299"/>
      <c r="O97" s="283"/>
      <c r="P97" s="257"/>
      <c r="Q97" s="257"/>
      <c r="R97" s="362"/>
      <c r="S97" s="305"/>
      <c r="T97" s="283"/>
      <c r="U97" s="257"/>
      <c r="V97" s="257"/>
      <c r="W97" s="258"/>
    </row>
    <row r="98" spans="1:23" s="243" customFormat="1" ht="6" customHeight="1" x14ac:dyDescent="0.2">
      <c r="A98" s="112"/>
      <c r="B98" s="276"/>
      <c r="C98" s="107"/>
      <c r="D98" s="107"/>
      <c r="E98" s="108"/>
      <c r="F98" s="109"/>
      <c r="G98" s="109"/>
      <c r="H98" s="110"/>
      <c r="I98" s="104"/>
      <c r="J98" s="104"/>
      <c r="K98" s="104"/>
      <c r="L98" s="111"/>
      <c r="M98" s="159"/>
      <c r="N98" s="111"/>
      <c r="O98" s="317"/>
      <c r="P98" s="253"/>
      <c r="Q98" s="253"/>
      <c r="R98" s="267"/>
      <c r="S98" s="253"/>
      <c r="T98" s="317"/>
      <c r="U98" s="253"/>
      <c r="V98" s="253"/>
      <c r="W98" s="267"/>
    </row>
    <row r="99" spans="1:23" s="243" customFormat="1" ht="14.25" customHeight="1" x14ac:dyDescent="0.2">
      <c r="A99" s="265" t="s">
        <v>148</v>
      </c>
      <c r="B99" s="298" t="s">
        <v>142</v>
      </c>
      <c r="C99" s="248" t="s">
        <v>45</v>
      </c>
      <c r="D99" s="248"/>
      <c r="E99" s="248">
        <v>1991</v>
      </c>
      <c r="F99" s="250">
        <v>3000</v>
      </c>
      <c r="G99" s="250">
        <v>25000</v>
      </c>
      <c r="H99" s="248" t="s">
        <v>27</v>
      </c>
      <c r="I99" s="248" t="s">
        <v>29</v>
      </c>
      <c r="J99" s="328">
        <v>40360</v>
      </c>
      <c r="K99" s="328">
        <v>42552</v>
      </c>
      <c r="L99" s="255">
        <v>256000</v>
      </c>
      <c r="M99" s="256">
        <v>116000</v>
      </c>
      <c r="N99" s="255"/>
      <c r="O99" s="318">
        <v>0</v>
      </c>
      <c r="P99" s="242">
        <v>0</v>
      </c>
      <c r="Q99" s="242">
        <v>0</v>
      </c>
      <c r="R99" s="327">
        <v>0</v>
      </c>
      <c r="S99" s="242"/>
      <c r="T99" s="318">
        <v>0</v>
      </c>
      <c r="U99" s="242">
        <v>0</v>
      </c>
      <c r="V99" s="242">
        <v>0</v>
      </c>
      <c r="W99" s="327">
        <v>0</v>
      </c>
    </row>
    <row r="100" spans="1:23" s="460" customFormat="1" x14ac:dyDescent="0.2">
      <c r="A100" s="499" t="s">
        <v>149</v>
      </c>
      <c r="B100" s="401"/>
      <c r="C100" s="336" t="s">
        <v>45</v>
      </c>
      <c r="D100" s="336"/>
      <c r="E100" s="336">
        <v>1983</v>
      </c>
      <c r="F100" s="338">
        <v>2800</v>
      </c>
      <c r="G100" s="338">
        <v>25000</v>
      </c>
      <c r="H100" s="336"/>
      <c r="I100" s="336"/>
      <c r="J100" s="381"/>
      <c r="K100" s="381" t="s">
        <v>185</v>
      </c>
      <c r="L100" s="339"/>
      <c r="M100" s="383"/>
      <c r="N100" s="255"/>
      <c r="O100" s="340">
        <v>0</v>
      </c>
      <c r="P100" s="341">
        <v>0</v>
      </c>
      <c r="Q100" s="341">
        <v>0</v>
      </c>
      <c r="R100" s="342">
        <v>0</v>
      </c>
      <c r="S100" s="242"/>
      <c r="T100" s="340">
        <v>0</v>
      </c>
      <c r="U100" s="341">
        <v>0</v>
      </c>
      <c r="V100" s="341">
        <v>0</v>
      </c>
      <c r="W100" s="342">
        <v>0</v>
      </c>
    </row>
    <row r="101" spans="1:23" s="243" customFormat="1" ht="14.25" customHeight="1" x14ac:dyDescent="0.2">
      <c r="A101" s="102" t="s">
        <v>115</v>
      </c>
      <c r="B101" s="276"/>
      <c r="C101" s="248" t="s">
        <v>45</v>
      </c>
      <c r="D101" s="248"/>
      <c r="E101" s="248">
        <v>1982</v>
      </c>
      <c r="F101" s="250">
        <v>1800</v>
      </c>
      <c r="G101" s="250">
        <v>25000</v>
      </c>
      <c r="H101" s="268" t="s">
        <v>26</v>
      </c>
      <c r="I101" s="328" t="s">
        <v>93</v>
      </c>
      <c r="J101" s="328">
        <v>42156</v>
      </c>
      <c r="K101" s="328">
        <v>42339</v>
      </c>
      <c r="L101" s="255">
        <v>366000</v>
      </c>
      <c r="M101" s="256">
        <v>361000</v>
      </c>
      <c r="N101" s="255"/>
      <c r="O101" s="318">
        <v>0</v>
      </c>
      <c r="P101" s="242">
        <v>0</v>
      </c>
      <c r="Q101" s="242">
        <v>0</v>
      </c>
      <c r="R101" s="327">
        <v>0</v>
      </c>
      <c r="S101" s="242"/>
      <c r="T101" s="318">
        <v>0</v>
      </c>
      <c r="U101" s="242">
        <v>0</v>
      </c>
      <c r="V101" s="242">
        <v>0</v>
      </c>
      <c r="W101" s="327">
        <v>0</v>
      </c>
    </row>
    <row r="102" spans="1:23" s="460" customFormat="1" x14ac:dyDescent="0.2">
      <c r="A102" s="500" t="s">
        <v>150</v>
      </c>
      <c r="B102" s="335">
        <v>-7</v>
      </c>
      <c r="C102" s="336" t="s">
        <v>45</v>
      </c>
      <c r="D102" s="336"/>
      <c r="E102" s="336">
        <v>1982</v>
      </c>
      <c r="F102" s="338">
        <v>1800</v>
      </c>
      <c r="G102" s="338">
        <v>25000</v>
      </c>
      <c r="H102" s="336" t="s">
        <v>26</v>
      </c>
      <c r="I102" s="336" t="s">
        <v>97</v>
      </c>
      <c r="J102" s="381">
        <v>42032</v>
      </c>
      <c r="K102" s="381">
        <v>42397</v>
      </c>
      <c r="L102" s="429">
        <v>414000</v>
      </c>
      <c r="M102" s="383">
        <v>353000</v>
      </c>
      <c r="N102" s="489"/>
      <c r="O102" s="340">
        <v>0</v>
      </c>
      <c r="P102" s="341">
        <v>0</v>
      </c>
      <c r="Q102" s="341">
        <v>0</v>
      </c>
      <c r="R102" s="342">
        <v>0</v>
      </c>
      <c r="S102" s="242"/>
      <c r="T102" s="340">
        <v>0</v>
      </c>
      <c r="U102" s="341">
        <v>0</v>
      </c>
      <c r="V102" s="341">
        <v>0</v>
      </c>
      <c r="W102" s="342">
        <v>0</v>
      </c>
    </row>
    <row r="103" spans="1:23" s="243" customFormat="1" ht="14.25" customHeight="1" x14ac:dyDescent="0.2">
      <c r="A103" s="265" t="s">
        <v>63</v>
      </c>
      <c r="B103" s="298"/>
      <c r="C103" s="248" t="s">
        <v>45</v>
      </c>
      <c r="D103" s="248"/>
      <c r="E103" s="248">
        <v>1983</v>
      </c>
      <c r="F103" s="250">
        <v>1600</v>
      </c>
      <c r="G103" s="250">
        <v>25000</v>
      </c>
      <c r="H103" s="248" t="s">
        <v>26</v>
      </c>
      <c r="I103" s="248" t="s">
        <v>93</v>
      </c>
      <c r="J103" s="333">
        <v>42095</v>
      </c>
      <c r="K103" s="328">
        <v>42278</v>
      </c>
      <c r="L103" s="255">
        <v>397000</v>
      </c>
      <c r="M103" s="256">
        <v>391000</v>
      </c>
      <c r="N103" s="255"/>
      <c r="O103" s="318">
        <v>25.427083333333332</v>
      </c>
      <c r="P103" s="242">
        <v>0</v>
      </c>
      <c r="Q103" s="242">
        <v>0</v>
      </c>
      <c r="R103" s="327">
        <v>0</v>
      </c>
      <c r="S103" s="242"/>
      <c r="T103" s="318">
        <v>0</v>
      </c>
      <c r="U103" s="242">
        <v>0</v>
      </c>
      <c r="V103" s="242">
        <v>0</v>
      </c>
      <c r="W103" s="327">
        <v>0</v>
      </c>
    </row>
    <row r="104" spans="1:23" s="243" customFormat="1" ht="14.25" customHeight="1" x14ac:dyDescent="0.2">
      <c r="A104" s="265"/>
      <c r="B104" s="298"/>
      <c r="C104" s="248"/>
      <c r="D104" s="248"/>
      <c r="E104" s="248"/>
      <c r="F104" s="250"/>
      <c r="G104" s="250"/>
      <c r="H104" s="248" t="s">
        <v>26</v>
      </c>
      <c r="I104" s="248" t="s">
        <v>93</v>
      </c>
      <c r="J104" s="333">
        <v>42278</v>
      </c>
      <c r="K104" s="328">
        <v>42461</v>
      </c>
      <c r="L104" s="255">
        <v>403000</v>
      </c>
      <c r="M104" s="256">
        <v>397000</v>
      </c>
      <c r="N104" s="255"/>
      <c r="O104" s="318"/>
      <c r="P104" s="242"/>
      <c r="Q104" s="242"/>
      <c r="R104" s="327"/>
      <c r="S104" s="242"/>
      <c r="T104" s="318"/>
      <c r="U104" s="242"/>
      <c r="V104" s="242"/>
      <c r="W104" s="327"/>
    </row>
    <row r="105" spans="1:23" s="243" customFormat="1" ht="14.25" customHeight="1" x14ac:dyDescent="0.2">
      <c r="A105" s="265"/>
      <c r="B105" s="298"/>
      <c r="C105" s="248"/>
      <c r="D105" s="248"/>
      <c r="E105" s="248"/>
      <c r="F105" s="250"/>
      <c r="G105" s="250"/>
      <c r="H105" s="248" t="s">
        <v>26</v>
      </c>
      <c r="I105" s="248" t="s">
        <v>93</v>
      </c>
      <c r="J105" s="333">
        <v>42461</v>
      </c>
      <c r="K105" s="328">
        <v>42644</v>
      </c>
      <c r="L105" s="255">
        <v>409000</v>
      </c>
      <c r="M105" s="256">
        <v>403000</v>
      </c>
      <c r="N105" s="255"/>
      <c r="O105" s="318"/>
      <c r="P105" s="242"/>
      <c r="Q105" s="242"/>
      <c r="R105" s="327"/>
      <c r="S105" s="242"/>
      <c r="T105" s="318"/>
      <c r="U105" s="242"/>
      <c r="V105" s="242"/>
      <c r="W105" s="327"/>
    </row>
    <row r="106" spans="1:23" s="461" customFormat="1" ht="14.25" customHeight="1" x14ac:dyDescent="0.2">
      <c r="A106" s="434" t="s">
        <v>151</v>
      </c>
      <c r="B106" s="335">
        <v>-7</v>
      </c>
      <c r="C106" s="336" t="s">
        <v>45</v>
      </c>
      <c r="D106" s="336"/>
      <c r="E106" s="336" t="s">
        <v>22</v>
      </c>
      <c r="F106" s="338">
        <v>1600</v>
      </c>
      <c r="G106" s="338">
        <v>25000</v>
      </c>
      <c r="H106" s="336" t="s">
        <v>26</v>
      </c>
      <c r="I106" s="336" t="s">
        <v>32</v>
      </c>
      <c r="J106" s="381">
        <v>42248</v>
      </c>
      <c r="K106" s="381">
        <v>42430</v>
      </c>
      <c r="L106" s="429">
        <v>421000</v>
      </c>
      <c r="M106" s="383">
        <v>433000</v>
      </c>
      <c r="N106" s="255"/>
      <c r="O106" s="340">
        <v>0</v>
      </c>
      <c r="P106" s="341">
        <v>0</v>
      </c>
      <c r="Q106" s="341">
        <v>0</v>
      </c>
      <c r="R106" s="342">
        <v>0</v>
      </c>
      <c r="S106" s="242"/>
      <c r="T106" s="340">
        <v>0</v>
      </c>
      <c r="U106" s="341">
        <v>0</v>
      </c>
      <c r="V106" s="341">
        <v>0</v>
      </c>
      <c r="W106" s="342">
        <v>0</v>
      </c>
    </row>
    <row r="107" spans="1:23" s="243" customFormat="1" ht="14.25" customHeight="1" x14ac:dyDescent="0.2">
      <c r="A107" s="428" t="s">
        <v>152</v>
      </c>
      <c r="B107" s="276"/>
      <c r="C107" s="248" t="s">
        <v>45</v>
      </c>
      <c r="D107" s="248"/>
      <c r="E107" s="248">
        <v>1984</v>
      </c>
      <c r="F107" s="250">
        <v>1500</v>
      </c>
      <c r="G107" s="250">
        <v>25000</v>
      </c>
      <c r="H107" s="248"/>
      <c r="I107" s="248"/>
      <c r="J107" s="328"/>
      <c r="K107" s="459" t="s">
        <v>185</v>
      </c>
      <c r="L107" s="329"/>
      <c r="M107" s="256"/>
      <c r="N107" s="255"/>
      <c r="O107" s="318">
        <v>0</v>
      </c>
      <c r="P107" s="242">
        <v>0</v>
      </c>
      <c r="Q107" s="242">
        <v>0</v>
      </c>
      <c r="R107" s="327">
        <v>0</v>
      </c>
      <c r="S107" s="242"/>
      <c r="T107" s="318">
        <v>0</v>
      </c>
      <c r="U107" s="242">
        <v>0</v>
      </c>
      <c r="V107" s="242">
        <v>0</v>
      </c>
      <c r="W107" s="327">
        <v>0</v>
      </c>
    </row>
    <row r="108" spans="1:23" s="460" customFormat="1" x14ac:dyDescent="0.2">
      <c r="A108" s="501" t="s">
        <v>153</v>
      </c>
      <c r="B108" s="383"/>
      <c r="C108" s="336" t="s">
        <v>45</v>
      </c>
      <c r="D108" s="336"/>
      <c r="E108" s="336">
        <v>1982</v>
      </c>
      <c r="F108" s="338">
        <v>1500</v>
      </c>
      <c r="G108" s="338">
        <v>25000</v>
      </c>
      <c r="H108" s="336"/>
      <c r="I108" s="336"/>
      <c r="J108" s="381"/>
      <c r="K108" s="381" t="s">
        <v>185</v>
      </c>
      <c r="L108" s="339"/>
      <c r="M108" s="383"/>
      <c r="N108" s="255"/>
      <c r="O108" s="340">
        <v>0</v>
      </c>
      <c r="P108" s="341">
        <v>0</v>
      </c>
      <c r="Q108" s="341">
        <v>0</v>
      </c>
      <c r="R108" s="342">
        <v>0</v>
      </c>
      <c r="S108" s="242"/>
      <c r="T108" s="340">
        <v>0</v>
      </c>
      <c r="U108" s="341">
        <v>0</v>
      </c>
      <c r="V108" s="341">
        <v>0</v>
      </c>
      <c r="W108" s="342">
        <v>0</v>
      </c>
    </row>
    <row r="109" spans="1:23" s="243" customFormat="1" ht="14.25" customHeight="1" x14ac:dyDescent="0.2">
      <c r="A109" s="441" t="s">
        <v>154</v>
      </c>
      <c r="B109" s="298" t="s">
        <v>112</v>
      </c>
      <c r="C109" s="248" t="s">
        <v>45</v>
      </c>
      <c r="D109" s="248"/>
      <c r="E109" s="248">
        <v>1983</v>
      </c>
      <c r="F109" s="250">
        <v>1500</v>
      </c>
      <c r="G109" s="250">
        <v>25000</v>
      </c>
      <c r="H109" s="248" t="s">
        <v>28</v>
      </c>
      <c r="I109" s="248" t="s">
        <v>91</v>
      </c>
      <c r="J109" s="328">
        <v>42231</v>
      </c>
      <c r="K109" s="328">
        <v>42552</v>
      </c>
      <c r="L109" s="427">
        <v>498000</v>
      </c>
      <c r="M109" s="256">
        <v>419000</v>
      </c>
      <c r="N109" s="255"/>
      <c r="O109" s="318">
        <v>0</v>
      </c>
      <c r="P109" s="242">
        <v>0</v>
      </c>
      <c r="Q109" s="242">
        <v>0</v>
      </c>
      <c r="R109" s="327">
        <v>0</v>
      </c>
      <c r="S109" s="242"/>
      <c r="T109" s="318">
        <v>0</v>
      </c>
      <c r="U109" s="242">
        <v>0</v>
      </c>
      <c r="V109" s="242">
        <v>0</v>
      </c>
      <c r="W109" s="327">
        <v>0</v>
      </c>
    </row>
    <row r="110" spans="1:23" s="460" customFormat="1" ht="14.25" customHeight="1" x14ac:dyDescent="0.2">
      <c r="A110" s="502" t="s">
        <v>155</v>
      </c>
      <c r="B110" s="503"/>
      <c r="C110" s="336" t="s">
        <v>45</v>
      </c>
      <c r="D110" s="336"/>
      <c r="E110" s="336" t="s">
        <v>20</v>
      </c>
      <c r="F110" s="338">
        <v>1500</v>
      </c>
      <c r="G110" s="338">
        <v>25000</v>
      </c>
      <c r="H110" s="336"/>
      <c r="I110" s="336"/>
      <c r="J110" s="200"/>
      <c r="K110" s="471" t="s">
        <v>61</v>
      </c>
      <c r="L110" s="339"/>
      <c r="M110" s="383"/>
      <c r="N110" s="255"/>
      <c r="O110" s="340">
        <v>0</v>
      </c>
      <c r="P110" s="341">
        <v>0</v>
      </c>
      <c r="Q110" s="341">
        <v>0</v>
      </c>
      <c r="R110" s="342">
        <v>0</v>
      </c>
      <c r="S110" s="242"/>
      <c r="T110" s="340">
        <v>0</v>
      </c>
      <c r="U110" s="341">
        <v>0</v>
      </c>
      <c r="V110" s="341">
        <v>0</v>
      </c>
      <c r="W110" s="342">
        <v>0</v>
      </c>
    </row>
    <row r="111" spans="1:23" s="243" customFormat="1" ht="14.25" customHeight="1" x14ac:dyDescent="0.2">
      <c r="A111" s="442" t="s">
        <v>156</v>
      </c>
      <c r="B111" s="298"/>
      <c r="C111" s="248" t="s">
        <v>45</v>
      </c>
      <c r="D111" s="248"/>
      <c r="E111" s="248" t="s">
        <v>21</v>
      </c>
      <c r="F111" s="250">
        <v>1500</v>
      </c>
      <c r="G111" s="250">
        <v>25000</v>
      </c>
      <c r="H111" s="248"/>
      <c r="I111" s="248"/>
      <c r="J111" s="104"/>
      <c r="K111" s="438" t="s">
        <v>61</v>
      </c>
      <c r="L111" s="255"/>
      <c r="M111" s="256"/>
      <c r="N111" s="255"/>
      <c r="O111" s="318">
        <v>0</v>
      </c>
      <c r="P111" s="242">
        <v>0</v>
      </c>
      <c r="Q111" s="242">
        <v>0</v>
      </c>
      <c r="R111" s="327">
        <v>0</v>
      </c>
      <c r="S111" s="242"/>
      <c r="T111" s="318">
        <v>0</v>
      </c>
      <c r="U111" s="242">
        <v>0</v>
      </c>
      <c r="V111" s="242">
        <v>0</v>
      </c>
      <c r="W111" s="327">
        <v>0</v>
      </c>
    </row>
    <row r="112" spans="1:23" s="460" customFormat="1" ht="14.25" customHeight="1" x14ac:dyDescent="0.2">
      <c r="A112" s="500" t="s">
        <v>162</v>
      </c>
      <c r="B112" s="383"/>
      <c r="C112" s="336" t="s">
        <v>45</v>
      </c>
      <c r="D112" s="336"/>
      <c r="E112" s="336" t="s">
        <v>23</v>
      </c>
      <c r="F112" s="338">
        <v>1000</v>
      </c>
      <c r="G112" s="338">
        <v>25000</v>
      </c>
      <c r="H112" s="336" t="s">
        <v>26</v>
      </c>
      <c r="I112" s="336" t="s">
        <v>166</v>
      </c>
      <c r="J112" s="200">
        <v>42185</v>
      </c>
      <c r="K112" s="200">
        <v>42401</v>
      </c>
      <c r="L112" s="429">
        <v>373000</v>
      </c>
      <c r="M112" s="383">
        <v>362000</v>
      </c>
      <c r="N112" s="243"/>
      <c r="O112" s="340">
        <v>0</v>
      </c>
      <c r="P112" s="341">
        <v>0</v>
      </c>
      <c r="Q112" s="341">
        <v>0</v>
      </c>
      <c r="R112" s="342">
        <v>0</v>
      </c>
      <c r="S112" s="242"/>
      <c r="T112" s="340">
        <v>0</v>
      </c>
      <c r="U112" s="341">
        <v>0</v>
      </c>
      <c r="V112" s="341">
        <v>0</v>
      </c>
      <c r="W112" s="342">
        <v>0</v>
      </c>
    </row>
    <row r="113" spans="1:23" s="460" customFormat="1" ht="14.25" customHeight="1" x14ac:dyDescent="0.2">
      <c r="A113" s="504"/>
      <c r="B113" s="505"/>
      <c r="C113" s="203"/>
      <c r="D113" s="203"/>
      <c r="E113" s="203"/>
      <c r="F113" s="205"/>
      <c r="G113" s="205"/>
      <c r="H113" s="203" t="s">
        <v>26</v>
      </c>
      <c r="I113" s="203" t="s">
        <v>166</v>
      </c>
      <c r="J113" s="410">
        <f>K112</f>
        <v>42401</v>
      </c>
      <c r="K113" s="210">
        <v>42483</v>
      </c>
      <c r="L113" s="206">
        <v>219000</v>
      </c>
      <c r="M113" s="411">
        <f>+L112</f>
        <v>373000</v>
      </c>
      <c r="N113" s="243"/>
      <c r="O113" s="207"/>
      <c r="P113" s="208"/>
      <c r="Q113" s="208"/>
      <c r="R113" s="209"/>
      <c r="S113" s="242"/>
      <c r="T113" s="207"/>
      <c r="U113" s="208"/>
      <c r="V113" s="208"/>
      <c r="W113" s="209"/>
    </row>
    <row r="114" spans="1:23" ht="6" customHeight="1" x14ac:dyDescent="0.2">
      <c r="A114" s="243"/>
      <c r="B114" s="127"/>
      <c r="C114" s="243"/>
      <c r="D114" s="243"/>
      <c r="E114" s="243"/>
      <c r="F114" s="243"/>
      <c r="G114" s="243"/>
      <c r="H114" s="243"/>
      <c r="I114" s="243"/>
      <c r="J114" s="326"/>
      <c r="K114" s="326"/>
      <c r="L114" s="294"/>
      <c r="M114" s="294"/>
      <c r="O114" s="224"/>
      <c r="P114" s="290"/>
      <c r="Q114" s="290"/>
      <c r="R114" s="105"/>
      <c r="S114" s="290"/>
      <c r="T114" s="224"/>
      <c r="U114" s="290"/>
      <c r="V114" s="290"/>
      <c r="W114" s="105"/>
    </row>
    <row r="115" spans="1:23" s="243" customFormat="1" x14ac:dyDescent="0.2">
      <c r="A115" s="417"/>
      <c r="B115" s="255"/>
      <c r="C115" s="248"/>
      <c r="D115" s="248"/>
      <c r="E115" s="248"/>
      <c r="F115" s="250"/>
      <c r="G115" s="250"/>
      <c r="H115" s="248"/>
      <c r="I115" s="248"/>
      <c r="J115" s="333"/>
      <c r="K115" s="104"/>
      <c r="L115" s="255"/>
      <c r="M115" s="151" t="s">
        <v>69</v>
      </c>
      <c r="N115" s="151"/>
      <c r="O115" s="173">
        <f>SUM(O99:O112)</f>
        <v>25.427083333333332</v>
      </c>
      <c r="P115" s="44">
        <f>SUM(P99:P112)</f>
        <v>0</v>
      </c>
      <c r="Q115" s="44">
        <f>SUM(Q99:Q112)</f>
        <v>0</v>
      </c>
      <c r="R115" s="194">
        <f>SUM(R99:R112)</f>
        <v>0</v>
      </c>
      <c r="S115" s="253"/>
      <c r="T115" s="173">
        <f>SUM(T99:T112)</f>
        <v>0</v>
      </c>
      <c r="U115" s="44">
        <f>SUM(U99:U112)</f>
        <v>0</v>
      </c>
      <c r="V115" s="44">
        <f>SUM(V99:V112)</f>
        <v>0</v>
      </c>
      <c r="W115" s="194">
        <f>SUM(W99:W112)</f>
        <v>0</v>
      </c>
    </row>
    <row r="116" spans="1:23" s="243" customFormat="1" ht="14.25" x14ac:dyDescent="0.2">
      <c r="A116" s="417"/>
      <c r="B116" s="255"/>
      <c r="C116" s="248"/>
      <c r="D116" s="248"/>
      <c r="E116" s="248"/>
      <c r="F116" s="250"/>
      <c r="G116" s="250"/>
      <c r="H116" s="248"/>
      <c r="I116" s="248"/>
      <c r="J116" s="333"/>
      <c r="K116" s="104"/>
      <c r="L116" s="255"/>
      <c r="M116" s="151" t="s">
        <v>9</v>
      </c>
      <c r="N116" s="151"/>
      <c r="O116" s="174">
        <v>351000</v>
      </c>
      <c r="P116" s="170">
        <v>350000</v>
      </c>
      <c r="Q116" s="170">
        <v>377000</v>
      </c>
      <c r="R116" s="195">
        <v>389000</v>
      </c>
      <c r="S116" s="220"/>
      <c r="T116" s="174">
        <v>385000</v>
      </c>
      <c r="U116" s="170">
        <v>381000</v>
      </c>
      <c r="V116" s="170">
        <v>433000</v>
      </c>
      <c r="W116" s="195">
        <v>409000</v>
      </c>
    </row>
    <row r="117" spans="1:23" s="243" customFormat="1" ht="6" customHeight="1" x14ac:dyDescent="0.2">
      <c r="A117" s="251"/>
      <c r="B117" s="131"/>
      <c r="C117" s="251"/>
      <c r="J117" s="326"/>
      <c r="K117" s="326"/>
      <c r="L117" s="294"/>
      <c r="M117" s="490"/>
      <c r="O117" s="317"/>
      <c r="P117" s="253"/>
      <c r="Q117" s="253"/>
      <c r="R117" s="267"/>
      <c r="S117" s="253"/>
      <c r="T117" s="317"/>
      <c r="U117" s="253"/>
      <c r="V117" s="253"/>
      <c r="W117" s="267"/>
    </row>
    <row r="118" spans="1:23" s="243" customFormat="1" ht="15.75" customHeight="1" x14ac:dyDescent="0.2">
      <c r="A118" s="278" t="s">
        <v>210</v>
      </c>
      <c r="B118" s="284"/>
      <c r="C118" s="280"/>
      <c r="D118" s="281"/>
      <c r="E118" s="282"/>
      <c r="F118" s="281"/>
      <c r="G118" s="281"/>
      <c r="H118" s="281"/>
      <c r="I118" s="281"/>
      <c r="J118" s="306"/>
      <c r="K118" s="306"/>
      <c r="L118" s="310"/>
      <c r="M118" s="311"/>
      <c r="N118" s="299"/>
      <c r="O118" s="316"/>
      <c r="P118" s="296"/>
      <c r="Q118" s="296"/>
      <c r="R118" s="363"/>
      <c r="S118" s="303"/>
      <c r="T118" s="316"/>
      <c r="U118" s="296"/>
      <c r="V118" s="296"/>
      <c r="W118" s="295"/>
    </row>
    <row r="119" spans="1:23" s="243" customFormat="1" ht="6" customHeight="1" x14ac:dyDescent="0.2">
      <c r="A119" s="389"/>
      <c r="B119" s="276"/>
      <c r="C119" s="270"/>
      <c r="D119" s="270"/>
      <c r="E119" s="271"/>
      <c r="F119" s="272"/>
      <c r="G119" s="272"/>
      <c r="H119" s="268"/>
      <c r="I119" s="328"/>
      <c r="J119" s="328"/>
      <c r="K119" s="328"/>
      <c r="L119" s="273"/>
      <c r="M119" s="297"/>
      <c r="N119" s="273"/>
      <c r="O119" s="216"/>
      <c r="P119" s="217"/>
      <c r="Q119" s="217"/>
      <c r="R119" s="218"/>
      <c r="S119" s="253"/>
      <c r="T119" s="216"/>
      <c r="U119" s="217"/>
      <c r="V119" s="217"/>
      <c r="W119" s="218"/>
    </row>
    <row r="120" spans="1:23" s="243" customFormat="1" ht="14.25" customHeight="1" x14ac:dyDescent="0.2">
      <c r="A120" s="462" t="s">
        <v>157</v>
      </c>
      <c r="B120" s="276">
        <v>-8</v>
      </c>
      <c r="C120" s="270"/>
      <c r="D120" s="270"/>
      <c r="E120" s="271">
        <v>2003</v>
      </c>
      <c r="F120" s="272">
        <v>400</v>
      </c>
      <c r="G120" s="272">
        <v>30000</v>
      </c>
      <c r="H120" s="268" t="s">
        <v>33</v>
      </c>
      <c r="I120" s="328" t="s">
        <v>32</v>
      </c>
      <c r="J120" s="328">
        <v>41153</v>
      </c>
      <c r="K120" s="328">
        <v>42370</v>
      </c>
      <c r="L120" s="255">
        <v>150000</v>
      </c>
      <c r="M120" s="256">
        <v>140000</v>
      </c>
      <c r="N120" s="255"/>
      <c r="O120" s="318">
        <v>0</v>
      </c>
      <c r="P120" s="242">
        <v>0</v>
      </c>
      <c r="Q120" s="242">
        <v>0</v>
      </c>
      <c r="R120" s="327">
        <v>0</v>
      </c>
      <c r="S120" s="242"/>
      <c r="T120" s="126">
        <v>8</v>
      </c>
      <c r="U120" s="242">
        <v>0</v>
      </c>
      <c r="V120" s="241">
        <v>0</v>
      </c>
      <c r="W120" s="325">
        <v>0</v>
      </c>
    </row>
    <row r="121" spans="1:23" s="243" customFormat="1" ht="14.25" customHeight="1" x14ac:dyDescent="0.2">
      <c r="A121" s="269"/>
      <c r="B121" s="276"/>
      <c r="C121" s="270"/>
      <c r="D121" s="270"/>
      <c r="E121" s="271"/>
      <c r="F121" s="272"/>
      <c r="G121" s="272"/>
      <c r="H121" s="458" t="s">
        <v>253</v>
      </c>
      <c r="I121" s="459" t="s">
        <v>254</v>
      </c>
      <c r="J121" s="459">
        <v>42488</v>
      </c>
      <c r="K121" s="459">
        <v>42731</v>
      </c>
      <c r="L121" s="427">
        <v>104000</v>
      </c>
      <c r="M121" s="431">
        <f>L120</f>
        <v>150000</v>
      </c>
      <c r="N121" s="255"/>
      <c r="O121" s="318"/>
      <c r="P121" s="242"/>
      <c r="Q121" s="242"/>
      <c r="R121" s="327"/>
      <c r="S121" s="242"/>
      <c r="T121" s="318"/>
      <c r="U121" s="242"/>
      <c r="V121" s="241"/>
      <c r="W121" s="325"/>
    </row>
    <row r="122" spans="1:23" s="460" customFormat="1" x14ac:dyDescent="0.2">
      <c r="A122" s="412" t="s">
        <v>158</v>
      </c>
      <c r="B122" s="335">
        <v>-6</v>
      </c>
      <c r="C122" s="506"/>
      <c r="D122" s="506"/>
      <c r="E122" s="384">
        <v>2004</v>
      </c>
      <c r="F122" s="507">
        <v>400</v>
      </c>
      <c r="G122" s="507">
        <v>30000</v>
      </c>
      <c r="H122" s="385" t="s">
        <v>11</v>
      </c>
      <c r="I122" s="385" t="s">
        <v>208</v>
      </c>
      <c r="J122" s="381">
        <v>41943</v>
      </c>
      <c r="K122" s="381">
        <v>42552</v>
      </c>
      <c r="L122" s="339">
        <v>170000</v>
      </c>
      <c r="M122" s="383">
        <v>165000</v>
      </c>
      <c r="N122" s="255"/>
      <c r="O122" s="340">
        <v>0</v>
      </c>
      <c r="P122" s="341">
        <v>0</v>
      </c>
      <c r="Q122" s="341">
        <v>0</v>
      </c>
      <c r="R122" s="342">
        <v>0</v>
      </c>
      <c r="S122" s="242"/>
      <c r="T122" s="340">
        <v>0</v>
      </c>
      <c r="U122" s="341">
        <v>0</v>
      </c>
      <c r="V122" s="341">
        <v>0</v>
      </c>
      <c r="W122" s="342">
        <v>0</v>
      </c>
    </row>
    <row r="123" spans="1:23" s="243" customFormat="1" ht="14.25" customHeight="1" x14ac:dyDescent="0.2">
      <c r="A123" s="462" t="s">
        <v>58</v>
      </c>
      <c r="B123" s="276">
        <v>-7</v>
      </c>
      <c r="C123" s="270"/>
      <c r="D123" s="270"/>
      <c r="E123" s="463" t="s">
        <v>59</v>
      </c>
      <c r="F123" s="272">
        <v>400</v>
      </c>
      <c r="G123" s="272">
        <v>30000</v>
      </c>
      <c r="H123" s="268" t="s">
        <v>26</v>
      </c>
      <c r="I123" s="268" t="s">
        <v>32</v>
      </c>
      <c r="J123" s="328">
        <v>42125</v>
      </c>
      <c r="K123" s="328">
        <v>42338</v>
      </c>
      <c r="L123" s="427">
        <v>219000</v>
      </c>
      <c r="M123" s="256">
        <v>208000</v>
      </c>
      <c r="N123" s="255"/>
      <c r="O123" s="318">
        <v>0</v>
      </c>
      <c r="P123" s="242">
        <v>0</v>
      </c>
      <c r="Q123" s="242">
        <v>0</v>
      </c>
      <c r="R123" s="327">
        <v>0</v>
      </c>
      <c r="S123" s="242"/>
      <c r="T123" s="318">
        <v>0</v>
      </c>
      <c r="U123" s="242">
        <v>0</v>
      </c>
      <c r="V123" s="242">
        <v>0</v>
      </c>
      <c r="W123" s="327">
        <v>0</v>
      </c>
    </row>
    <row r="124" spans="1:23" s="243" customFormat="1" ht="14.25" customHeight="1" x14ac:dyDescent="0.2">
      <c r="A124" s="269"/>
      <c r="B124" s="276">
        <v>-7</v>
      </c>
      <c r="C124" s="270"/>
      <c r="D124" s="270"/>
      <c r="E124" s="463"/>
      <c r="F124" s="272"/>
      <c r="G124" s="272"/>
      <c r="H124" s="326" t="s">
        <v>26</v>
      </c>
      <c r="I124" s="268" t="s">
        <v>32</v>
      </c>
      <c r="J124" s="328">
        <v>42338</v>
      </c>
      <c r="K124" s="328">
        <v>42520</v>
      </c>
      <c r="L124" s="427">
        <v>223000</v>
      </c>
      <c r="M124" s="431">
        <f t="shared" ref="M124:M126" si="0">L123</f>
        <v>219000</v>
      </c>
      <c r="N124" s="255"/>
      <c r="O124" s="318"/>
      <c r="P124" s="242"/>
      <c r="Q124" s="242"/>
      <c r="R124" s="327"/>
      <c r="S124" s="242"/>
      <c r="T124" s="318"/>
      <c r="U124" s="242"/>
      <c r="V124" s="242"/>
      <c r="W124" s="327"/>
    </row>
    <row r="125" spans="1:23" s="243" customFormat="1" ht="14.25" customHeight="1" x14ac:dyDescent="0.2">
      <c r="A125" s="263"/>
      <c r="B125" s="276">
        <v>-7</v>
      </c>
      <c r="H125" s="326" t="s">
        <v>26</v>
      </c>
      <c r="I125" s="268" t="s">
        <v>32</v>
      </c>
      <c r="J125" s="328">
        <v>42520</v>
      </c>
      <c r="K125" s="328">
        <v>42704</v>
      </c>
      <c r="L125" s="427">
        <v>227000</v>
      </c>
      <c r="M125" s="431">
        <f t="shared" si="0"/>
        <v>223000</v>
      </c>
      <c r="O125" s="224"/>
      <c r="P125" s="242"/>
      <c r="Q125" s="242"/>
      <c r="R125" s="327"/>
      <c r="S125" s="242"/>
      <c r="T125" s="224"/>
      <c r="U125" s="242"/>
      <c r="V125" s="242"/>
      <c r="W125" s="327"/>
    </row>
    <row r="126" spans="1:23" s="243" customFormat="1" ht="14.25" customHeight="1" x14ac:dyDescent="0.2">
      <c r="A126" s="263"/>
      <c r="B126" s="276">
        <v>-7</v>
      </c>
      <c r="H126" s="326" t="s">
        <v>26</v>
      </c>
      <c r="I126" s="268" t="s">
        <v>32</v>
      </c>
      <c r="J126" s="328">
        <v>42704</v>
      </c>
      <c r="K126" s="328">
        <v>42885</v>
      </c>
      <c r="L126" s="427">
        <v>230000</v>
      </c>
      <c r="M126" s="431">
        <f t="shared" si="0"/>
        <v>227000</v>
      </c>
      <c r="O126" s="224"/>
      <c r="P126" s="242"/>
      <c r="Q126" s="242"/>
      <c r="R126" s="327"/>
      <c r="S126" s="242"/>
      <c r="T126" s="224"/>
      <c r="U126" s="242"/>
      <c r="V126" s="242"/>
      <c r="W126" s="327"/>
    </row>
    <row r="127" spans="1:23" s="460" customFormat="1" ht="14.25" customHeight="1" x14ac:dyDescent="0.2">
      <c r="A127" s="508" t="s">
        <v>198</v>
      </c>
      <c r="B127" s="335"/>
      <c r="C127" s="150"/>
      <c r="D127" s="150"/>
      <c r="E127" s="384">
        <v>1998</v>
      </c>
      <c r="F127" s="507">
        <v>400</v>
      </c>
      <c r="G127" s="507">
        <v>30000</v>
      </c>
      <c r="H127" s="509"/>
      <c r="I127" s="385"/>
      <c r="J127" s="381"/>
      <c r="K127" s="433" t="s">
        <v>61</v>
      </c>
      <c r="L127" s="339"/>
      <c r="M127" s="383"/>
      <c r="N127" s="243"/>
      <c r="O127" s="494">
        <v>0</v>
      </c>
      <c r="P127" s="341">
        <v>0</v>
      </c>
      <c r="Q127" s="341">
        <v>0</v>
      </c>
      <c r="R127" s="342">
        <v>0</v>
      </c>
      <c r="S127" s="242"/>
      <c r="T127" s="494">
        <v>0</v>
      </c>
      <c r="U127" s="341">
        <v>0</v>
      </c>
      <c r="V127" s="341">
        <v>0</v>
      </c>
      <c r="W127" s="342">
        <v>0</v>
      </c>
    </row>
    <row r="128" spans="1:23" s="243" customFormat="1" x14ac:dyDescent="0.2">
      <c r="A128" s="361" t="s">
        <v>159</v>
      </c>
      <c r="B128" s="276"/>
      <c r="C128" s="270"/>
      <c r="D128" s="270"/>
      <c r="E128" s="271">
        <v>1999</v>
      </c>
      <c r="F128" s="272">
        <v>400</v>
      </c>
      <c r="G128" s="272">
        <v>30000</v>
      </c>
      <c r="H128" s="268"/>
      <c r="I128" s="328"/>
      <c r="J128" s="328"/>
      <c r="K128" s="328" t="s">
        <v>61</v>
      </c>
      <c r="L128" s="255"/>
      <c r="M128" s="256"/>
      <c r="N128" s="255"/>
      <c r="O128" s="318">
        <v>0</v>
      </c>
      <c r="P128" s="242">
        <v>0</v>
      </c>
      <c r="Q128" s="242">
        <v>0</v>
      </c>
      <c r="R128" s="327">
        <v>0</v>
      </c>
      <c r="S128" s="242"/>
      <c r="T128" s="318">
        <v>0</v>
      </c>
      <c r="U128" s="242">
        <v>0</v>
      </c>
      <c r="V128" s="242">
        <v>0</v>
      </c>
      <c r="W128" s="327">
        <v>0</v>
      </c>
    </row>
    <row r="129" spans="1:23" s="461" customFormat="1" ht="14.25" customHeight="1" x14ac:dyDescent="0.2">
      <c r="A129" s="412" t="s">
        <v>167</v>
      </c>
      <c r="B129" s="401" t="s">
        <v>177</v>
      </c>
      <c r="C129" s="506"/>
      <c r="D129" s="506"/>
      <c r="E129" s="384">
        <v>2012</v>
      </c>
      <c r="F129" s="507">
        <v>400</v>
      </c>
      <c r="G129" s="507">
        <v>30000</v>
      </c>
      <c r="H129" s="336" t="s">
        <v>35</v>
      </c>
      <c r="I129" s="336" t="s">
        <v>50</v>
      </c>
      <c r="J129" s="381">
        <v>42124</v>
      </c>
      <c r="K129" s="381">
        <v>42490</v>
      </c>
      <c r="L129" s="339">
        <v>194000</v>
      </c>
      <c r="M129" s="383">
        <v>155000</v>
      </c>
      <c r="N129" s="255"/>
      <c r="O129" s="340">
        <v>0</v>
      </c>
      <c r="P129" s="341">
        <v>0</v>
      </c>
      <c r="Q129" s="341">
        <v>0</v>
      </c>
      <c r="R129" s="342">
        <v>0</v>
      </c>
      <c r="S129" s="242"/>
      <c r="T129" s="340">
        <v>0</v>
      </c>
      <c r="U129" s="341">
        <v>0</v>
      </c>
      <c r="V129" s="341">
        <v>0</v>
      </c>
      <c r="W129" s="342">
        <v>0</v>
      </c>
    </row>
    <row r="130" spans="1:23" ht="14.25" customHeight="1" x14ac:dyDescent="0.2">
      <c r="A130" s="263" t="s">
        <v>211</v>
      </c>
      <c r="B130" s="276"/>
      <c r="C130" s="326"/>
      <c r="D130" s="326"/>
      <c r="E130" s="271">
        <v>1986</v>
      </c>
      <c r="F130" s="272">
        <v>350</v>
      </c>
      <c r="G130" s="272">
        <v>30000</v>
      </c>
      <c r="H130" s="268"/>
      <c r="I130" s="328"/>
      <c r="J130" s="352"/>
      <c r="K130" s="328" t="s">
        <v>61</v>
      </c>
      <c r="L130" s="329"/>
      <c r="M130" s="256"/>
      <c r="N130" s="255"/>
      <c r="O130" s="318">
        <v>0</v>
      </c>
      <c r="P130" s="242">
        <v>0</v>
      </c>
      <c r="Q130" s="242">
        <v>0</v>
      </c>
      <c r="R130" s="327">
        <v>0</v>
      </c>
      <c r="S130" s="242"/>
      <c r="T130" s="318">
        <v>0</v>
      </c>
      <c r="U130" s="242">
        <v>0</v>
      </c>
      <c r="V130" s="242">
        <v>0</v>
      </c>
      <c r="W130" s="327">
        <v>0</v>
      </c>
    </row>
    <row r="131" spans="1:23" s="461" customFormat="1" ht="14.25" customHeight="1" x14ac:dyDescent="0.2">
      <c r="A131" s="520" t="s">
        <v>95</v>
      </c>
      <c r="B131" s="401"/>
      <c r="C131" s="506"/>
      <c r="D131" s="506"/>
      <c r="E131" s="384">
        <v>2013</v>
      </c>
      <c r="F131" s="507">
        <v>350</v>
      </c>
      <c r="G131" s="507">
        <v>35000</v>
      </c>
      <c r="H131" s="385" t="s">
        <v>38</v>
      </c>
      <c r="I131" s="336" t="s">
        <v>50</v>
      </c>
      <c r="J131" s="381">
        <v>41411</v>
      </c>
      <c r="K131" s="381">
        <v>42514</v>
      </c>
      <c r="L131" s="339">
        <v>150000</v>
      </c>
      <c r="M131" s="383" t="s">
        <v>37</v>
      </c>
      <c r="N131" s="255"/>
      <c r="O131" s="340">
        <v>0</v>
      </c>
      <c r="P131" s="341">
        <v>0</v>
      </c>
      <c r="Q131" s="341">
        <v>0</v>
      </c>
      <c r="R131" s="342">
        <v>0</v>
      </c>
      <c r="S131" s="242"/>
      <c r="T131" s="340">
        <v>0</v>
      </c>
      <c r="U131" s="341">
        <v>0</v>
      </c>
      <c r="V131" s="341">
        <v>0</v>
      </c>
      <c r="W131" s="342">
        <v>0</v>
      </c>
    </row>
    <row r="132" spans="1:23" s="461" customFormat="1" ht="14.25" customHeight="1" x14ac:dyDescent="0.2">
      <c r="A132" s="412"/>
      <c r="B132" s="401"/>
      <c r="C132" s="506"/>
      <c r="D132" s="506"/>
      <c r="E132" s="384"/>
      <c r="F132" s="507"/>
      <c r="G132" s="507"/>
      <c r="H132" s="385" t="s">
        <v>38</v>
      </c>
      <c r="I132" s="336" t="s">
        <v>50</v>
      </c>
      <c r="J132" s="381">
        <v>42514</v>
      </c>
      <c r="K132" s="381">
        <v>42870</v>
      </c>
      <c r="L132" s="339">
        <v>115000</v>
      </c>
      <c r="M132" s="383">
        <v>150000</v>
      </c>
      <c r="N132" s="255"/>
      <c r="O132" s="340"/>
      <c r="P132" s="341"/>
      <c r="Q132" s="341"/>
      <c r="R132" s="342"/>
      <c r="S132" s="242"/>
      <c r="T132" s="340"/>
      <c r="U132" s="341"/>
      <c r="V132" s="341"/>
      <c r="W132" s="342"/>
    </row>
    <row r="133" spans="1:23" s="243" customFormat="1" ht="14.25" customHeight="1" x14ac:dyDescent="0.2">
      <c r="A133" s="263" t="s">
        <v>94</v>
      </c>
      <c r="B133" s="276"/>
      <c r="C133" s="326"/>
      <c r="D133" s="326"/>
      <c r="E133" s="326">
        <v>2013</v>
      </c>
      <c r="F133" s="326">
        <v>350</v>
      </c>
      <c r="G133" s="250">
        <v>35000</v>
      </c>
      <c r="H133" s="326" t="s">
        <v>38</v>
      </c>
      <c r="I133" s="326" t="s">
        <v>50</v>
      </c>
      <c r="J133" s="328">
        <v>41360</v>
      </c>
      <c r="K133" s="328">
        <v>43185</v>
      </c>
      <c r="L133" s="464">
        <v>140000</v>
      </c>
      <c r="M133" s="465" t="s">
        <v>37</v>
      </c>
      <c r="N133" s="294"/>
      <c r="O133" s="318">
        <v>0</v>
      </c>
      <c r="P133" s="242">
        <v>0</v>
      </c>
      <c r="Q133" s="242">
        <v>0</v>
      </c>
      <c r="R133" s="327">
        <v>0</v>
      </c>
      <c r="S133" s="242"/>
      <c r="T133" s="318">
        <v>0</v>
      </c>
      <c r="U133" s="242">
        <v>0</v>
      </c>
      <c r="V133" s="242">
        <v>0</v>
      </c>
      <c r="W133" s="327">
        <v>0</v>
      </c>
    </row>
    <row r="134" spans="1:23" s="466" customFormat="1" ht="14.25" customHeight="1" x14ac:dyDescent="0.2">
      <c r="A134" s="510" t="s">
        <v>96</v>
      </c>
      <c r="B134" s="199"/>
      <c r="C134" s="511"/>
      <c r="D134" s="511"/>
      <c r="E134" s="511">
        <v>2013</v>
      </c>
      <c r="F134" s="511">
        <v>350</v>
      </c>
      <c r="G134" s="205">
        <v>35000</v>
      </c>
      <c r="H134" s="511" t="s">
        <v>38</v>
      </c>
      <c r="I134" s="511" t="s">
        <v>50</v>
      </c>
      <c r="J134" s="410">
        <v>41557</v>
      </c>
      <c r="K134" s="410">
        <v>43390</v>
      </c>
      <c r="L134" s="512">
        <v>139000</v>
      </c>
      <c r="M134" s="513" t="s">
        <v>37</v>
      </c>
      <c r="N134" s="294"/>
      <c r="O134" s="207">
        <v>0</v>
      </c>
      <c r="P134" s="208">
        <v>0</v>
      </c>
      <c r="Q134" s="208">
        <v>0</v>
      </c>
      <c r="R134" s="209">
        <v>0</v>
      </c>
      <c r="S134" s="242"/>
      <c r="T134" s="207">
        <v>0</v>
      </c>
      <c r="U134" s="208">
        <v>0</v>
      </c>
      <c r="V134" s="495">
        <v>3</v>
      </c>
      <c r="W134" s="209">
        <v>0</v>
      </c>
    </row>
    <row r="135" spans="1:23" x14ac:dyDescent="0.2">
      <c r="A135" s="457"/>
      <c r="B135" s="255"/>
      <c r="C135" s="270"/>
      <c r="D135" s="270"/>
      <c r="E135" s="271"/>
      <c r="F135" s="272"/>
      <c r="G135" s="272"/>
      <c r="H135" s="268"/>
      <c r="I135" s="328"/>
      <c r="J135" s="328"/>
      <c r="K135" s="328"/>
      <c r="L135" s="255"/>
      <c r="M135" s="151" t="s">
        <v>69</v>
      </c>
      <c r="N135" s="151"/>
      <c r="O135" s="196">
        <f>SUM(O120:O134)</f>
        <v>0</v>
      </c>
      <c r="P135" s="197">
        <f>SUM(P120:P134)</f>
        <v>0</v>
      </c>
      <c r="Q135" s="197">
        <f>SUM(Q120:Q134)</f>
        <v>0</v>
      </c>
      <c r="R135" s="198">
        <f>SUM(R120:R134)</f>
        <v>0</v>
      </c>
      <c r="S135" s="221"/>
      <c r="T135" s="196">
        <f>SUM(T120:T134)</f>
        <v>8</v>
      </c>
      <c r="U135" s="197">
        <f>SUM(U120:U134)</f>
        <v>0</v>
      </c>
      <c r="V135" s="197">
        <f>SUM(V120:V134)</f>
        <v>3</v>
      </c>
      <c r="W135" s="198">
        <f>SUM(W120:W134)</f>
        <v>0</v>
      </c>
    </row>
    <row r="136" spans="1:23" ht="14.25" x14ac:dyDescent="0.2">
      <c r="A136" s="417"/>
      <c r="B136" s="255"/>
      <c r="C136" s="270"/>
      <c r="D136" s="270"/>
      <c r="E136" s="271"/>
      <c r="F136" s="272"/>
      <c r="G136" s="272"/>
      <c r="H136" s="268"/>
      <c r="I136" s="328"/>
      <c r="J136" s="328"/>
      <c r="K136" s="328"/>
      <c r="L136" s="255"/>
      <c r="M136" s="151" t="s">
        <v>9</v>
      </c>
      <c r="N136" s="151"/>
      <c r="O136" s="174">
        <v>167000</v>
      </c>
      <c r="P136" s="170">
        <v>166000</v>
      </c>
      <c r="Q136" s="170">
        <v>166000</v>
      </c>
      <c r="R136" s="195">
        <v>166000</v>
      </c>
      <c r="S136" s="220"/>
      <c r="T136" s="174">
        <v>165000</v>
      </c>
      <c r="U136" s="170">
        <v>154000</v>
      </c>
      <c r="V136" s="170">
        <v>146000</v>
      </c>
      <c r="W136" s="195">
        <v>149000</v>
      </c>
    </row>
    <row r="137" spans="1:23" s="243" customFormat="1" ht="6" customHeight="1" x14ac:dyDescent="0.2">
      <c r="A137" s="240"/>
      <c r="B137" s="255"/>
      <c r="C137" s="248"/>
      <c r="D137" s="248"/>
      <c r="E137" s="248"/>
      <c r="F137" s="248"/>
      <c r="G137" s="248"/>
      <c r="H137" s="248"/>
      <c r="I137" s="248"/>
      <c r="J137" s="328"/>
      <c r="K137" s="328"/>
      <c r="L137" s="255"/>
      <c r="M137" s="255"/>
      <c r="N137" s="255"/>
      <c r="O137" s="253"/>
      <c r="P137" s="253"/>
      <c r="Q137" s="253"/>
      <c r="R137" s="253"/>
      <c r="S137" s="253"/>
      <c r="T137" s="253"/>
      <c r="U137" s="253"/>
      <c r="V137" s="253"/>
      <c r="W137" s="253"/>
    </row>
    <row r="138" spans="1:23" s="243" customFormat="1" x14ac:dyDescent="0.2">
      <c r="A138" s="289"/>
      <c r="B138" s="148"/>
      <c r="C138" s="248"/>
      <c r="D138" s="248"/>
      <c r="E138" s="248"/>
      <c r="F138" s="248"/>
      <c r="G138" s="250"/>
      <c r="H138" s="248"/>
      <c r="I138" s="248"/>
      <c r="J138" s="328"/>
      <c r="K138" s="328"/>
      <c r="L138" s="247"/>
      <c r="M138" s="247"/>
      <c r="N138" s="247"/>
      <c r="O138" s="253"/>
      <c r="P138" s="253"/>
      <c r="Q138" s="253"/>
      <c r="R138" s="253"/>
      <c r="S138" s="253"/>
      <c r="T138" s="253"/>
      <c r="U138" s="253"/>
      <c r="V138" s="253"/>
      <c r="W138" s="253"/>
    </row>
    <row r="139" spans="1:23" s="243" customFormat="1" x14ac:dyDescent="0.2">
      <c r="A139" s="289"/>
      <c r="B139" s="148"/>
      <c r="C139" s="248"/>
      <c r="D139" s="248"/>
      <c r="E139" s="248"/>
      <c r="F139" s="248"/>
      <c r="G139" s="250"/>
      <c r="H139" s="248"/>
      <c r="I139" s="248"/>
      <c r="J139" s="328"/>
      <c r="K139" s="328"/>
      <c r="L139" s="247"/>
      <c r="M139" s="151" t="s">
        <v>69</v>
      </c>
      <c r="N139" s="247"/>
      <c r="O139" s="253">
        <f>+O135+O115+O82+O94+O59</f>
        <v>282.29166666666663</v>
      </c>
      <c r="P139" s="253">
        <f>+P135+P115+P82+P94+P59</f>
        <v>259.04166666666663</v>
      </c>
      <c r="Q139" s="253">
        <f>+Q135+Q115+Q82+Q94+Q59</f>
        <v>164</v>
      </c>
      <c r="R139" s="253">
        <f>+R135+R115+R82+R94+R59</f>
        <v>136</v>
      </c>
      <c r="S139" s="253"/>
      <c r="T139" s="253">
        <f>+T135+T115+T82+T94+T59</f>
        <v>22</v>
      </c>
      <c r="U139" s="253">
        <f>+U135+U115+U82+U94+U59</f>
        <v>16</v>
      </c>
      <c r="V139" s="253">
        <f>+V135+V115+V82+V94+V59</f>
        <v>3</v>
      </c>
      <c r="W139" s="253">
        <f>+W135+W115+W82+W94+W59</f>
        <v>0</v>
      </c>
    </row>
    <row r="140" spans="1:23" s="243" customFormat="1" x14ac:dyDescent="0.2">
      <c r="A140" s="289"/>
      <c r="B140" s="148"/>
      <c r="C140" s="248"/>
      <c r="D140" s="248"/>
      <c r="E140" s="248"/>
      <c r="F140" s="248"/>
      <c r="G140" s="250"/>
      <c r="H140" s="248"/>
      <c r="I140" s="248"/>
      <c r="J140" s="328"/>
      <c r="K140" s="328"/>
      <c r="L140" s="247"/>
      <c r="M140" s="247"/>
      <c r="N140" s="247"/>
      <c r="O140" s="320"/>
      <c r="P140" s="320"/>
      <c r="Q140" s="320"/>
      <c r="R140" s="320"/>
      <c r="S140" s="320"/>
      <c r="T140" s="320"/>
      <c r="U140" s="320"/>
      <c r="V140" s="320"/>
      <c r="W140" s="320"/>
    </row>
    <row r="141" spans="1:23" s="243" customFormat="1" ht="6" customHeight="1" x14ac:dyDescent="0.2">
      <c r="A141" s="275"/>
      <c r="B141" s="138"/>
      <c r="C141" s="274"/>
      <c r="D141" s="270"/>
      <c r="E141" s="271"/>
      <c r="F141" s="272"/>
      <c r="G141" s="272"/>
      <c r="H141" s="268"/>
      <c r="I141" s="328"/>
      <c r="J141" s="328"/>
      <c r="K141" s="328"/>
      <c r="L141" s="273"/>
      <c r="M141" s="304"/>
      <c r="N141" s="273"/>
      <c r="O141" s="253"/>
      <c r="P141" s="253"/>
      <c r="Q141" s="253"/>
      <c r="R141" s="253"/>
      <c r="S141" s="253"/>
      <c r="T141" s="253"/>
      <c r="U141" s="253"/>
      <c r="V141" s="253"/>
      <c r="W141" s="253"/>
    </row>
    <row r="142" spans="1:23" s="243" customFormat="1" ht="15" x14ac:dyDescent="0.2">
      <c r="A142" s="283" t="s">
        <v>178</v>
      </c>
      <c r="B142" s="356"/>
      <c r="C142" s="280"/>
      <c r="D142" s="285"/>
      <c r="E142" s="286"/>
      <c r="F142" s="285"/>
      <c r="G142" s="285"/>
      <c r="H142" s="287"/>
      <c r="I142" s="285"/>
      <c r="J142" s="308"/>
      <c r="K142" s="308"/>
      <c r="L142" s="314"/>
      <c r="M142" s="315"/>
      <c r="N142" s="301"/>
      <c r="O142" s="302"/>
      <c r="P142" s="302"/>
      <c r="Q142" s="302"/>
      <c r="R142" s="302"/>
      <c r="S142" s="302"/>
      <c r="T142" s="302"/>
      <c r="U142" s="302"/>
      <c r="V142" s="302"/>
      <c r="W142" s="302"/>
    </row>
    <row r="143" spans="1:23" s="243" customFormat="1" ht="6" customHeight="1" x14ac:dyDescent="0.2">
      <c r="A143" s="387"/>
      <c r="B143" s="151"/>
      <c r="C143" s="354"/>
      <c r="D143" s="264"/>
      <c r="E143" s="237"/>
      <c r="F143" s="250"/>
      <c r="G143" s="238"/>
      <c r="H143" s="248"/>
      <c r="I143" s="248"/>
      <c r="J143" s="328"/>
      <c r="K143" s="328"/>
      <c r="L143" s="255"/>
      <c r="M143" s="355"/>
      <c r="N143" s="255"/>
      <c r="O143" s="288"/>
      <c r="P143" s="288"/>
      <c r="Q143" s="288"/>
      <c r="R143" s="288"/>
      <c r="S143" s="288"/>
      <c r="T143" s="288"/>
      <c r="U143" s="288"/>
      <c r="V143" s="288"/>
      <c r="W143" s="288"/>
    </row>
    <row r="144" spans="1:23" s="243" customFormat="1" hidden="1" x14ac:dyDescent="0.2">
      <c r="A144" s="150"/>
      <c r="B144" s="150"/>
      <c r="C144" s="150"/>
      <c r="D144" s="150"/>
      <c r="E144" s="150"/>
      <c r="F144" s="150"/>
      <c r="G144" s="150"/>
      <c r="H144" s="150"/>
      <c r="I144" s="150"/>
      <c r="J144" s="150"/>
      <c r="K144" s="150"/>
      <c r="L144" s="150"/>
      <c r="M144" s="150"/>
      <c r="N144" s="294"/>
      <c r="O144" s="242"/>
      <c r="P144" s="242"/>
      <c r="Q144" s="242"/>
      <c r="R144" s="242"/>
      <c r="S144" s="242"/>
      <c r="T144" s="242"/>
      <c r="U144" s="242"/>
      <c r="V144" s="242"/>
      <c r="W144" s="242"/>
    </row>
    <row r="145" spans="1:23" s="243" customFormat="1" ht="3.75" customHeight="1" x14ac:dyDescent="0.2">
      <c r="A145" s="124"/>
      <c r="B145" s="256"/>
      <c r="C145" s="248"/>
      <c r="D145" s="264"/>
      <c r="E145" s="326"/>
      <c r="F145" s="249"/>
      <c r="G145" s="249"/>
      <c r="H145" s="326"/>
      <c r="I145" s="326"/>
      <c r="J145" s="326"/>
      <c r="K145" s="326"/>
      <c r="L145" s="255"/>
      <c r="M145" s="309"/>
      <c r="N145" s="294"/>
      <c r="O145" s="242"/>
      <c r="P145" s="242"/>
      <c r="Q145" s="242"/>
      <c r="R145" s="242"/>
      <c r="S145" s="242"/>
      <c r="T145" s="242"/>
      <c r="U145" s="242"/>
      <c r="V145" s="242"/>
      <c r="W145" s="242"/>
    </row>
    <row r="146" spans="1:23" s="243" customFormat="1" ht="12.75" customHeight="1" x14ac:dyDescent="0.2">
      <c r="A146" s="278" t="s">
        <v>236</v>
      </c>
      <c r="B146" s="279"/>
      <c r="C146" s="280"/>
      <c r="D146" s="281"/>
      <c r="E146" s="282"/>
      <c r="F146" s="281"/>
      <c r="G146" s="281"/>
      <c r="H146" s="281"/>
      <c r="I146" s="281"/>
      <c r="J146" s="306"/>
      <c r="K146" s="306"/>
      <c r="L146" s="310"/>
      <c r="M146" s="315"/>
      <c r="N146" s="301"/>
      <c r="O146" s="302"/>
      <c r="P146" s="302"/>
      <c r="Q146" s="302"/>
      <c r="R146" s="302"/>
      <c r="S146" s="302"/>
      <c r="T146" s="302"/>
      <c r="U146" s="302"/>
      <c r="V146" s="302"/>
      <c r="W146" s="302"/>
    </row>
    <row r="147" spans="1:23" s="243" customFormat="1" ht="6" customHeight="1" x14ac:dyDescent="0.2">
      <c r="A147" s="115"/>
      <c r="B147" s="260"/>
      <c r="C147" s="237"/>
      <c r="D147" s="264"/>
      <c r="E147" s="237"/>
      <c r="F147" s="250"/>
      <c r="G147" s="238"/>
      <c r="H147" s="248"/>
      <c r="I147" s="248"/>
      <c r="J147" s="328"/>
      <c r="K147" s="328"/>
      <c r="L147" s="255"/>
      <c r="M147" s="256"/>
      <c r="N147" s="255"/>
      <c r="O147" s="288"/>
      <c r="P147" s="288"/>
      <c r="Q147" s="288"/>
      <c r="R147" s="288"/>
      <c r="S147" s="288"/>
      <c r="T147" s="288"/>
      <c r="U147" s="288"/>
      <c r="V147" s="288"/>
      <c r="W147" s="288"/>
    </row>
    <row r="148" spans="1:23" s="243" customFormat="1" x14ac:dyDescent="0.2">
      <c r="A148" s="115" t="s">
        <v>118</v>
      </c>
      <c r="B148" s="259"/>
      <c r="C148" s="237" t="s">
        <v>44</v>
      </c>
      <c r="D148" s="264" t="s">
        <v>51</v>
      </c>
      <c r="E148" s="237">
        <v>2011</v>
      </c>
      <c r="F148" s="250">
        <v>12000</v>
      </c>
      <c r="G148" s="238">
        <v>40000</v>
      </c>
      <c r="H148" s="248" t="s">
        <v>25</v>
      </c>
      <c r="I148" s="248" t="s">
        <v>49</v>
      </c>
      <c r="J148" s="328">
        <v>42400</v>
      </c>
      <c r="K148" s="328">
        <v>42416</v>
      </c>
      <c r="L148" s="255">
        <v>395000</v>
      </c>
      <c r="M148" s="256">
        <v>395000</v>
      </c>
      <c r="N148" s="255"/>
      <c r="O148" s="288"/>
      <c r="P148" s="288"/>
      <c r="Q148" s="288"/>
      <c r="R148" s="288"/>
      <c r="S148" s="288"/>
      <c r="T148" s="288"/>
      <c r="U148" s="288"/>
      <c r="V148" s="288"/>
      <c r="W148" s="288"/>
    </row>
    <row r="149" spans="1:23" s="243" customFormat="1" x14ac:dyDescent="0.2">
      <c r="A149" s="115"/>
      <c r="B149" s="259"/>
      <c r="C149" s="237"/>
      <c r="D149" s="264"/>
      <c r="E149" s="237"/>
      <c r="F149" s="250"/>
      <c r="G149" s="238"/>
      <c r="H149" s="248" t="s">
        <v>25</v>
      </c>
      <c r="I149" s="248" t="s">
        <v>49</v>
      </c>
      <c r="J149" s="328">
        <v>42416</v>
      </c>
      <c r="K149" s="328">
        <v>42445</v>
      </c>
      <c r="L149" s="255">
        <v>395000</v>
      </c>
      <c r="M149" s="256">
        <v>395000</v>
      </c>
      <c r="N149" s="255"/>
      <c r="O149" s="288"/>
      <c r="P149" s="288"/>
      <c r="Q149" s="288"/>
      <c r="R149" s="288"/>
      <c r="S149" s="288"/>
      <c r="T149" s="288"/>
      <c r="U149" s="288"/>
      <c r="V149" s="288"/>
      <c r="W149" s="288"/>
    </row>
    <row r="150" spans="1:23" s="243" customFormat="1" x14ac:dyDescent="0.2">
      <c r="A150" s="115"/>
      <c r="B150" s="259"/>
      <c r="C150" s="237"/>
      <c r="D150" s="264"/>
      <c r="E150" s="237"/>
      <c r="F150" s="250"/>
      <c r="G150" s="238"/>
      <c r="H150" s="248" t="s">
        <v>25</v>
      </c>
      <c r="I150" s="248" t="s">
        <v>49</v>
      </c>
      <c r="J150" s="328">
        <v>42445</v>
      </c>
      <c r="K150" s="328">
        <v>42476</v>
      </c>
      <c r="L150" s="255">
        <v>395000</v>
      </c>
      <c r="M150" s="256">
        <v>395000</v>
      </c>
      <c r="N150" s="255"/>
      <c r="O150" s="288"/>
      <c r="P150" s="288"/>
      <c r="Q150" s="288"/>
      <c r="R150" s="288"/>
      <c r="S150" s="288"/>
      <c r="T150" s="288"/>
      <c r="U150" s="288"/>
      <c r="V150" s="288"/>
      <c r="W150" s="288"/>
    </row>
    <row r="151" spans="1:23" s="243" customFormat="1" x14ac:dyDescent="0.2">
      <c r="A151" s="115"/>
      <c r="B151" s="259"/>
      <c r="C151" s="237"/>
      <c r="D151" s="264"/>
      <c r="E151" s="237"/>
      <c r="F151" s="250"/>
      <c r="G151" s="238"/>
      <c r="H151" s="248" t="s">
        <v>25</v>
      </c>
      <c r="I151" s="248" t="s">
        <v>49</v>
      </c>
      <c r="J151" s="328">
        <v>42476</v>
      </c>
      <c r="K151" s="328">
        <v>42506</v>
      </c>
      <c r="L151" s="255">
        <v>395000</v>
      </c>
      <c r="M151" s="256">
        <v>395000</v>
      </c>
      <c r="N151" s="255"/>
      <c r="O151" s="288"/>
      <c r="P151" s="288"/>
      <c r="Q151" s="288"/>
      <c r="R151" s="288"/>
      <c r="S151" s="288"/>
      <c r="T151" s="288"/>
      <c r="U151" s="288"/>
      <c r="V151" s="288"/>
      <c r="W151" s="288"/>
    </row>
    <row r="152" spans="1:23" s="243" customFormat="1" x14ac:dyDescent="0.2">
      <c r="A152" s="115"/>
      <c r="B152" s="259"/>
      <c r="C152" s="237"/>
      <c r="D152" s="264"/>
      <c r="E152" s="237"/>
      <c r="F152" s="250"/>
      <c r="G152" s="238"/>
      <c r="H152" s="248" t="s">
        <v>25</v>
      </c>
      <c r="I152" s="248" t="s">
        <v>49</v>
      </c>
      <c r="J152" s="328">
        <v>42506</v>
      </c>
      <c r="K152" s="328">
        <v>42537</v>
      </c>
      <c r="L152" s="255">
        <v>395000</v>
      </c>
      <c r="M152" s="256">
        <v>395000</v>
      </c>
      <c r="N152" s="255"/>
      <c r="O152" s="288"/>
      <c r="P152" s="288"/>
      <c r="Q152" s="288"/>
      <c r="R152" s="288"/>
      <c r="S152" s="288"/>
      <c r="T152" s="288"/>
      <c r="U152" s="288"/>
      <c r="V152" s="288"/>
      <c r="W152" s="288"/>
    </row>
    <row r="153" spans="1:23" s="243" customFormat="1" x14ac:dyDescent="0.2">
      <c r="A153" s="115"/>
      <c r="B153" s="259"/>
      <c r="C153" s="237"/>
      <c r="D153" s="264"/>
      <c r="E153" s="237"/>
      <c r="F153" s="250"/>
      <c r="G153" s="238"/>
      <c r="H153" s="248" t="s">
        <v>25</v>
      </c>
      <c r="I153" s="248" t="s">
        <v>49</v>
      </c>
      <c r="J153" s="328">
        <v>42537</v>
      </c>
      <c r="K153" s="328">
        <v>42567</v>
      </c>
      <c r="L153" s="255">
        <v>395000</v>
      </c>
      <c r="M153" s="256">
        <v>395000</v>
      </c>
      <c r="N153" s="255"/>
      <c r="O153" s="288"/>
      <c r="P153" s="288"/>
      <c r="Q153" s="288"/>
      <c r="R153" s="288"/>
      <c r="S153" s="288"/>
      <c r="T153" s="288"/>
      <c r="U153" s="288"/>
      <c r="V153" s="288"/>
      <c r="W153" s="288"/>
    </row>
    <row r="154" spans="1:23" s="243" customFormat="1" x14ac:dyDescent="0.2">
      <c r="A154" s="115"/>
      <c r="B154" s="259"/>
      <c r="C154" s="237"/>
      <c r="D154" s="264"/>
      <c r="E154" s="237"/>
      <c r="F154" s="250"/>
      <c r="G154" s="238"/>
      <c r="H154" s="248" t="s">
        <v>25</v>
      </c>
      <c r="I154" s="248" t="s">
        <v>49</v>
      </c>
      <c r="J154" s="328">
        <v>42567</v>
      </c>
      <c r="K154" s="328">
        <v>42598</v>
      </c>
      <c r="L154" s="255">
        <v>395000</v>
      </c>
      <c r="M154" s="256">
        <v>395000</v>
      </c>
      <c r="N154" s="255"/>
      <c r="O154" s="288"/>
      <c r="P154" s="288"/>
      <c r="Q154" s="288"/>
      <c r="R154" s="288"/>
      <c r="S154" s="288"/>
      <c r="T154" s="288"/>
      <c r="U154" s="288"/>
      <c r="V154" s="288"/>
      <c r="W154" s="288"/>
    </row>
    <row r="155" spans="1:23" s="243" customFormat="1" x14ac:dyDescent="0.2">
      <c r="A155" s="115"/>
      <c r="B155" s="259"/>
      <c r="C155" s="237"/>
      <c r="D155" s="264"/>
      <c r="E155" s="237"/>
      <c r="F155" s="250"/>
      <c r="G155" s="238"/>
      <c r="H155" s="248" t="s">
        <v>25</v>
      </c>
      <c r="I155" s="248" t="s">
        <v>49</v>
      </c>
      <c r="J155" s="328">
        <v>42598</v>
      </c>
      <c r="K155" s="328">
        <v>42629</v>
      </c>
      <c r="L155" s="255">
        <v>395000</v>
      </c>
      <c r="M155" s="256">
        <v>395000</v>
      </c>
      <c r="N155" s="255"/>
      <c r="O155" s="288"/>
      <c r="P155" s="288"/>
      <c r="Q155" s="288"/>
      <c r="R155" s="288"/>
      <c r="S155" s="288"/>
      <c r="T155" s="288"/>
      <c r="U155" s="288"/>
      <c r="V155" s="288"/>
      <c r="W155" s="288"/>
    </row>
    <row r="156" spans="1:23" s="460" customFormat="1" ht="12.75" customHeight="1" x14ac:dyDescent="0.2">
      <c r="A156" s="499" t="s">
        <v>138</v>
      </c>
      <c r="B156" s="401">
        <v>-6</v>
      </c>
      <c r="C156" s="336" t="s">
        <v>45</v>
      </c>
      <c r="D156" s="337" t="s">
        <v>51</v>
      </c>
      <c r="E156" s="336">
        <v>2005</v>
      </c>
      <c r="F156" s="338">
        <v>7500</v>
      </c>
      <c r="G156" s="338">
        <v>37500</v>
      </c>
      <c r="H156" s="336" t="s">
        <v>206</v>
      </c>
      <c r="I156" s="336" t="s">
        <v>207</v>
      </c>
      <c r="J156" s="381">
        <v>42399</v>
      </c>
      <c r="K156" s="381">
        <v>42735</v>
      </c>
      <c r="L156" s="339">
        <v>315000</v>
      </c>
      <c r="M156" s="383">
        <v>315000</v>
      </c>
      <c r="N156" s="243"/>
      <c r="O156" s="243"/>
      <c r="P156" s="288"/>
      <c r="Q156" s="288"/>
      <c r="R156" s="288"/>
      <c r="S156" s="288"/>
      <c r="T156" s="288"/>
      <c r="U156" s="288"/>
      <c r="V156" s="288"/>
      <c r="W156" s="288"/>
    </row>
    <row r="157" spans="1:23" s="243" customFormat="1" ht="5.25" customHeight="1" x14ac:dyDescent="0.2">
      <c r="A157" s="106"/>
      <c r="B157" s="99"/>
      <c r="C157" s="248"/>
      <c r="D157" s="103"/>
      <c r="E157" s="248"/>
      <c r="F157" s="250"/>
      <c r="G157" s="250"/>
      <c r="H157" s="328"/>
      <c r="I157" s="248"/>
      <c r="J157" s="328"/>
      <c r="K157" s="328"/>
      <c r="L157" s="255"/>
      <c r="M157" s="256"/>
      <c r="N157" s="255"/>
      <c r="O157" s="288"/>
      <c r="P157" s="288"/>
      <c r="Q157" s="288"/>
      <c r="R157" s="288"/>
      <c r="S157" s="288"/>
      <c r="T157" s="288"/>
      <c r="U157" s="288"/>
      <c r="V157" s="288"/>
      <c r="W157" s="288"/>
    </row>
    <row r="158" spans="1:23" s="243" customFormat="1" ht="15" x14ac:dyDescent="0.2">
      <c r="A158" s="278" t="s">
        <v>237</v>
      </c>
      <c r="B158" s="279"/>
      <c r="C158" s="280"/>
      <c r="D158" s="281"/>
      <c r="E158" s="282"/>
      <c r="F158" s="281"/>
      <c r="G158" s="281"/>
      <c r="H158" s="281"/>
      <c r="I158" s="281"/>
      <c r="J158" s="306"/>
      <c r="K158" s="306"/>
      <c r="L158" s="321"/>
      <c r="M158" s="322"/>
      <c r="N158" s="301"/>
      <c r="O158" s="302"/>
      <c r="P158" s="302"/>
      <c r="Q158" s="302"/>
      <c r="R158" s="302"/>
      <c r="S158" s="302"/>
      <c r="T158" s="302"/>
      <c r="U158" s="302"/>
      <c r="V158" s="302"/>
      <c r="W158" s="302"/>
    </row>
    <row r="159" spans="1:23" s="243" customFormat="1" ht="6" customHeight="1" x14ac:dyDescent="0.2">
      <c r="A159" s="115"/>
      <c r="B159" s="259"/>
      <c r="C159" s="237"/>
      <c r="D159" s="264"/>
      <c r="E159" s="237"/>
      <c r="F159" s="250"/>
      <c r="G159" s="238"/>
      <c r="H159" s="248"/>
      <c r="I159" s="248"/>
      <c r="J159" s="328"/>
      <c r="K159" s="328"/>
      <c r="L159" s="255"/>
      <c r="M159" s="256"/>
      <c r="N159" s="255"/>
      <c r="O159" s="253"/>
      <c r="P159" s="253"/>
      <c r="Q159" s="253"/>
      <c r="R159" s="253"/>
      <c r="S159" s="253"/>
      <c r="T159" s="253"/>
      <c r="U159" s="253"/>
      <c r="V159" s="253"/>
      <c r="W159" s="253"/>
    </row>
    <row r="160" spans="1:23" s="243" customFormat="1" x14ac:dyDescent="0.2">
      <c r="A160" s="361" t="s">
        <v>147</v>
      </c>
      <c r="B160" s="256">
        <v>-6</v>
      </c>
      <c r="C160" s="248" t="s">
        <v>45</v>
      </c>
      <c r="D160" s="264"/>
      <c r="E160" s="271">
        <v>1985</v>
      </c>
      <c r="F160" s="272">
        <v>1500</v>
      </c>
      <c r="G160" s="272">
        <v>25000</v>
      </c>
      <c r="H160" s="268" t="s">
        <v>189</v>
      </c>
      <c r="I160" s="328" t="s">
        <v>31</v>
      </c>
      <c r="J160" s="328">
        <v>42903</v>
      </c>
      <c r="K160" s="328">
        <v>43039</v>
      </c>
      <c r="L160" s="255">
        <v>623000</v>
      </c>
      <c r="M160" s="256">
        <v>589000</v>
      </c>
      <c r="N160" s="255"/>
      <c r="O160" s="253"/>
      <c r="P160" s="253"/>
      <c r="Q160" s="253"/>
      <c r="R160" s="253"/>
      <c r="S160" s="253"/>
      <c r="T160" s="253"/>
      <c r="U160" s="253"/>
      <c r="V160" s="253"/>
      <c r="W160" s="253"/>
    </row>
    <row r="161" spans="1:23" s="460" customFormat="1" x14ac:dyDescent="0.2">
      <c r="A161" s="502" t="s">
        <v>113</v>
      </c>
      <c r="B161" s="335">
        <v>-7</v>
      </c>
      <c r="C161" s="336" t="s">
        <v>45</v>
      </c>
      <c r="D161" s="336"/>
      <c r="E161" s="336">
        <v>1990</v>
      </c>
      <c r="F161" s="338">
        <v>2000</v>
      </c>
      <c r="G161" s="338">
        <v>25000</v>
      </c>
      <c r="H161" s="336" t="s">
        <v>26</v>
      </c>
      <c r="I161" s="336" t="s">
        <v>39</v>
      </c>
      <c r="J161" s="381">
        <v>42887</v>
      </c>
      <c r="K161" s="381">
        <v>42979</v>
      </c>
      <c r="L161" s="429">
        <v>455000</v>
      </c>
      <c r="M161" s="383">
        <v>453000</v>
      </c>
      <c r="N161" s="255"/>
      <c r="O161" s="243"/>
      <c r="P161" s="253"/>
      <c r="Q161" s="253"/>
      <c r="R161" s="253"/>
      <c r="S161" s="253"/>
      <c r="T161" s="253"/>
      <c r="U161" s="253"/>
      <c r="V161" s="253"/>
      <c r="W161" s="253"/>
    </row>
    <row r="162" spans="1:23" s="460" customFormat="1" x14ac:dyDescent="0.2">
      <c r="A162" s="499"/>
      <c r="B162" s="335">
        <v>-7</v>
      </c>
      <c r="C162" s="336"/>
      <c r="D162" s="336"/>
      <c r="E162" s="336"/>
      <c r="F162" s="338"/>
      <c r="G162" s="338"/>
      <c r="H162" s="336" t="s">
        <v>26</v>
      </c>
      <c r="I162" s="336" t="s">
        <v>39</v>
      </c>
      <c r="J162" s="381">
        <v>42979</v>
      </c>
      <c r="K162" s="381">
        <v>43160</v>
      </c>
      <c r="L162" s="429">
        <v>462000</v>
      </c>
      <c r="M162" s="440">
        <f>+L161</f>
        <v>455000</v>
      </c>
      <c r="N162" s="255"/>
      <c r="O162" s="243"/>
      <c r="P162" s="253"/>
      <c r="Q162" s="253"/>
      <c r="R162" s="253"/>
      <c r="S162" s="253"/>
      <c r="T162" s="253"/>
      <c r="U162" s="253"/>
      <c r="V162" s="253"/>
      <c r="W162" s="253"/>
    </row>
    <row r="163" spans="1:23" s="460" customFormat="1" x14ac:dyDescent="0.2">
      <c r="A163" s="499"/>
      <c r="B163" s="335">
        <v>-7</v>
      </c>
      <c r="C163" s="336"/>
      <c r="D163" s="336"/>
      <c r="E163" s="336"/>
      <c r="F163" s="338"/>
      <c r="G163" s="338"/>
      <c r="H163" s="336" t="s">
        <v>26</v>
      </c>
      <c r="I163" s="336" t="s">
        <v>39</v>
      </c>
      <c r="J163" s="381">
        <v>43160</v>
      </c>
      <c r="K163" s="381">
        <v>43252</v>
      </c>
      <c r="L163" s="429">
        <v>469000</v>
      </c>
      <c r="M163" s="440">
        <f>+L162</f>
        <v>462000</v>
      </c>
      <c r="N163" s="255"/>
      <c r="O163" s="470"/>
      <c r="P163" s="253"/>
      <c r="Q163" s="253"/>
      <c r="R163" s="253"/>
      <c r="S163" s="253"/>
      <c r="T163" s="253"/>
      <c r="U163" s="253"/>
      <c r="V163" s="253"/>
      <c r="W163" s="253"/>
    </row>
    <row r="164" spans="1:23" s="243" customFormat="1" ht="3" customHeight="1" x14ac:dyDescent="0.2">
      <c r="A164" s="115"/>
      <c r="B164" s="261"/>
      <c r="C164" s="237"/>
      <c r="D164" s="264"/>
      <c r="E164" s="237"/>
      <c r="F164" s="250"/>
      <c r="G164" s="238"/>
      <c r="H164" s="248"/>
      <c r="I164" s="248"/>
      <c r="J164" s="328"/>
      <c r="K164" s="328"/>
      <c r="L164" s="255"/>
      <c r="M164" s="256"/>
      <c r="N164" s="255"/>
      <c r="O164" s="288"/>
      <c r="P164" s="288"/>
      <c r="Q164" s="288"/>
      <c r="R164" s="288"/>
      <c r="S164" s="288"/>
      <c r="T164" s="288"/>
      <c r="U164" s="288"/>
      <c r="V164" s="288"/>
      <c r="W164" s="288"/>
    </row>
    <row r="165" spans="1:23" s="243" customFormat="1" ht="15" x14ac:dyDescent="0.2">
      <c r="A165" s="278" t="s">
        <v>67</v>
      </c>
      <c r="B165" s="279"/>
      <c r="C165" s="280"/>
      <c r="D165" s="281"/>
      <c r="E165" s="282"/>
      <c r="F165" s="281"/>
      <c r="G165" s="281"/>
      <c r="H165" s="281"/>
      <c r="I165" s="281"/>
      <c r="J165" s="281"/>
      <c r="K165" s="281"/>
      <c r="L165" s="178"/>
      <c r="M165" s="179"/>
      <c r="N165" s="301"/>
      <c r="O165" s="302"/>
      <c r="P165" s="302"/>
      <c r="Q165" s="302"/>
      <c r="R165" s="302"/>
      <c r="S165" s="302"/>
      <c r="T165" s="302"/>
      <c r="U165" s="302"/>
      <c r="V165" s="302"/>
      <c r="W165" s="302"/>
    </row>
    <row r="166" spans="1:23" s="243" customFormat="1" ht="6" customHeight="1" x14ac:dyDescent="0.2">
      <c r="A166" s="116"/>
      <c r="B166" s="262"/>
      <c r="C166" s="117"/>
      <c r="D166" s="117"/>
      <c r="E166" s="118"/>
      <c r="F166" s="119"/>
      <c r="G166" s="119"/>
      <c r="H166" s="120"/>
      <c r="I166" s="121"/>
      <c r="J166" s="122"/>
      <c r="K166" s="122"/>
      <c r="L166" s="123"/>
      <c r="M166" s="161"/>
      <c r="N166" s="123"/>
      <c r="O166" s="253"/>
      <c r="P166" s="253"/>
      <c r="Q166" s="253"/>
      <c r="R166" s="253"/>
      <c r="S166" s="253"/>
      <c r="T166" s="253"/>
      <c r="U166" s="253"/>
      <c r="V166" s="253"/>
      <c r="W166" s="253"/>
    </row>
    <row r="167" spans="1:23" s="243" customFormat="1" ht="12.75" customHeight="1" x14ac:dyDescent="0.2">
      <c r="A167" s="514" t="s">
        <v>58</v>
      </c>
      <c r="B167" s="383" t="s">
        <v>116</v>
      </c>
      <c r="C167" s="506"/>
      <c r="D167" s="506"/>
      <c r="E167" s="515" t="s">
        <v>59</v>
      </c>
      <c r="F167" s="507">
        <v>400</v>
      </c>
      <c r="G167" s="507">
        <v>30000</v>
      </c>
      <c r="H167" s="385" t="s">
        <v>26</v>
      </c>
      <c r="I167" s="385" t="s">
        <v>32</v>
      </c>
      <c r="J167" s="381">
        <v>42883</v>
      </c>
      <c r="K167" s="381">
        <v>43247</v>
      </c>
      <c r="L167" s="339">
        <v>240000</v>
      </c>
      <c r="M167" s="383">
        <v>231000</v>
      </c>
      <c r="N167" s="123"/>
      <c r="O167" s="253"/>
      <c r="P167" s="253"/>
      <c r="Q167" s="253"/>
      <c r="R167" s="253"/>
      <c r="S167" s="253"/>
      <c r="T167" s="253"/>
      <c r="U167" s="253"/>
      <c r="V167" s="253"/>
      <c r="W167" s="253"/>
    </row>
    <row r="168" spans="1:23" x14ac:dyDescent="0.2">
      <c r="A168" s="516"/>
      <c r="B168" s="383" t="s">
        <v>116</v>
      </c>
      <c r="C168" s="150"/>
      <c r="D168" s="150"/>
      <c r="E168" s="150"/>
      <c r="F168" s="150"/>
      <c r="G168" s="150"/>
      <c r="H168" s="385" t="s">
        <v>26</v>
      </c>
      <c r="I168" s="385" t="s">
        <v>32</v>
      </c>
      <c r="J168" s="381">
        <v>43247</v>
      </c>
      <c r="K168" s="381">
        <v>43612</v>
      </c>
      <c r="L168" s="339">
        <v>250000</v>
      </c>
      <c r="M168" s="383">
        <v>240000</v>
      </c>
      <c r="O168" s="395"/>
      <c r="P168" s="395"/>
      <c r="Q168" s="395"/>
      <c r="R168" s="395"/>
      <c r="T168" s="395"/>
      <c r="U168" s="395"/>
      <c r="V168" s="395"/>
      <c r="W168" s="395"/>
    </row>
    <row r="169" spans="1:23" x14ac:dyDescent="0.2">
      <c r="A169" s="269" t="s">
        <v>95</v>
      </c>
      <c r="B169" s="298"/>
      <c r="C169" s="270"/>
      <c r="D169" s="270"/>
      <c r="E169" s="271">
        <v>2013</v>
      </c>
      <c r="F169" s="272">
        <v>350</v>
      </c>
      <c r="G169" s="272">
        <v>35000</v>
      </c>
      <c r="H169" s="268" t="s">
        <v>38</v>
      </c>
      <c r="I169" s="248" t="s">
        <v>50</v>
      </c>
      <c r="J169" s="328">
        <v>42870</v>
      </c>
      <c r="K169" s="328">
        <v>43235</v>
      </c>
      <c r="L169" s="255">
        <v>110000</v>
      </c>
      <c r="M169" s="256">
        <v>115000</v>
      </c>
      <c r="O169" s="395"/>
      <c r="P169" s="395"/>
      <c r="Q169" s="395"/>
      <c r="R169" s="395"/>
      <c r="T169" s="395"/>
      <c r="U169" s="395"/>
      <c r="V169" s="395"/>
      <c r="W169" s="395"/>
    </row>
    <row r="170" spans="1:23" s="243" customFormat="1" ht="3" customHeight="1" x14ac:dyDescent="0.2">
      <c r="A170" s="124"/>
      <c r="B170" s="100"/>
      <c r="C170" s="251"/>
      <c r="D170" s="251"/>
      <c r="E170" s="251"/>
      <c r="F170" s="251"/>
      <c r="G170" s="251"/>
      <c r="H170" s="251"/>
      <c r="I170" s="251"/>
      <c r="J170" s="251"/>
      <c r="K170" s="251"/>
      <c r="L170" s="251"/>
      <c r="M170" s="334"/>
      <c r="O170" s="162"/>
      <c r="P170" s="162"/>
      <c r="Q170" s="162"/>
      <c r="R170" s="162"/>
      <c r="S170" s="162"/>
      <c r="T170" s="162"/>
      <c r="U170" s="162"/>
      <c r="V170" s="162"/>
      <c r="W170" s="162"/>
    </row>
    <row r="171" spans="1:23" s="243" customFormat="1" ht="15" x14ac:dyDescent="0.2">
      <c r="A171" s="142" t="s">
        <v>182</v>
      </c>
      <c r="B171" s="143"/>
      <c r="C171" s="144"/>
      <c r="D171" s="145"/>
      <c r="E171" s="146"/>
      <c r="F171" s="145"/>
      <c r="G171" s="145"/>
      <c r="H171" s="147"/>
      <c r="I171" s="145"/>
      <c r="J171" s="145"/>
      <c r="K171" s="145"/>
      <c r="L171" s="145"/>
      <c r="M171" s="160"/>
      <c r="N171" s="301"/>
      <c r="O171" s="302"/>
      <c r="P171" s="302"/>
      <c r="Q171" s="302"/>
      <c r="R171" s="302"/>
      <c r="S171" s="302"/>
      <c r="T171" s="302"/>
      <c r="U171" s="302"/>
      <c r="V171" s="302"/>
      <c r="W171" s="302"/>
    </row>
    <row r="172" spans="1:23" ht="31.5" customHeight="1" x14ac:dyDescent="0.2">
      <c r="A172" s="525" t="s">
        <v>181</v>
      </c>
      <c r="B172" s="525"/>
      <c r="C172" s="525"/>
      <c r="D172" s="525"/>
      <c r="E172" s="525"/>
      <c r="F172" s="525"/>
      <c r="G172" s="525"/>
      <c r="H172" s="525"/>
      <c r="I172" s="525"/>
      <c r="J172" s="525"/>
      <c r="K172" s="525"/>
      <c r="L172" s="525"/>
      <c r="M172" s="525"/>
      <c r="N172" s="240"/>
      <c r="O172" s="395"/>
      <c r="P172" s="395"/>
      <c r="Q172" s="395"/>
      <c r="R172" s="395"/>
      <c r="T172" s="395"/>
      <c r="U172" s="395"/>
      <c r="V172" s="395"/>
      <c r="W172" s="395"/>
    </row>
    <row r="173" spans="1:23" x14ac:dyDescent="0.2">
      <c r="A173" s="239"/>
      <c r="B173" s="239"/>
      <c r="C173" s="239"/>
      <c r="D173" s="239"/>
      <c r="E173" s="239"/>
      <c r="F173" s="239"/>
      <c r="G173" s="239"/>
      <c r="H173" s="239"/>
      <c r="I173" s="239"/>
      <c r="J173" s="239"/>
      <c r="K173" s="239"/>
      <c r="L173" s="239"/>
      <c r="M173" s="239"/>
      <c r="O173" s="239"/>
      <c r="P173" s="239"/>
      <c r="Q173" s="239"/>
      <c r="R173" s="239"/>
      <c r="T173" s="239"/>
      <c r="U173" s="239"/>
      <c r="V173" s="239"/>
      <c r="W173" s="239"/>
    </row>
    <row r="174" spans="1:23" x14ac:dyDescent="0.2">
      <c r="A174" s="39"/>
      <c r="B174" s="163" t="s">
        <v>242</v>
      </c>
      <c r="C174" s="163" t="s">
        <v>231</v>
      </c>
      <c r="D174" s="163" t="s">
        <v>227</v>
      </c>
      <c r="E174" s="163" t="s">
        <v>224</v>
      </c>
      <c r="F174" s="163" t="s">
        <v>214</v>
      </c>
      <c r="G174" s="163" t="s">
        <v>209</v>
      </c>
      <c r="H174" s="163" t="s">
        <v>199</v>
      </c>
      <c r="I174" s="163" t="s">
        <v>190</v>
      </c>
      <c r="K174" s="239"/>
      <c r="L174" s="239"/>
      <c r="M174" s="245"/>
      <c r="N174" s="294"/>
      <c r="O174" s="239"/>
      <c r="P174" s="239"/>
      <c r="Q174" s="239"/>
      <c r="R174" s="239"/>
      <c r="T174" s="239"/>
      <c r="U174" s="239"/>
      <c r="V174" s="239"/>
      <c r="W174" s="239"/>
    </row>
    <row r="175" spans="1:23" x14ac:dyDescent="0.2">
      <c r="A175" s="239" t="s">
        <v>265</v>
      </c>
      <c r="B175" s="165">
        <v>0.97</v>
      </c>
      <c r="C175" s="165">
        <v>0.97199999999999998</v>
      </c>
      <c r="D175" s="165">
        <v>0.95399999999999996</v>
      </c>
      <c r="E175" s="165">
        <v>0.91600000000000004</v>
      </c>
      <c r="F175" s="165">
        <v>0.94</v>
      </c>
      <c r="G175" s="165">
        <v>0.96399999999999997</v>
      </c>
      <c r="H175" s="165">
        <v>0.89955622855029127</v>
      </c>
      <c r="I175" s="165">
        <v>0.92500000000000004</v>
      </c>
      <c r="K175" s="239"/>
      <c r="L175" s="239"/>
      <c r="M175" s="40"/>
      <c r="N175" s="45"/>
      <c r="O175" s="239"/>
      <c r="P175" s="239"/>
      <c r="Q175" s="239"/>
      <c r="R175" s="239"/>
      <c r="T175" s="239"/>
      <c r="U175" s="239"/>
      <c r="V175" s="239"/>
      <c r="W175" s="239"/>
    </row>
    <row r="176" spans="1:23" x14ac:dyDescent="0.2">
      <c r="A176" s="239" t="s">
        <v>68</v>
      </c>
      <c r="B176" s="165">
        <v>0.98399999999999999</v>
      </c>
      <c r="C176" s="165">
        <v>0.96799999999999997</v>
      </c>
      <c r="D176" s="165">
        <v>0.96</v>
      </c>
      <c r="E176" s="165">
        <v>0.94699999999999995</v>
      </c>
      <c r="F176" s="165">
        <v>0.95699999999999996</v>
      </c>
      <c r="G176" s="165">
        <v>0.96299999999999997</v>
      </c>
      <c r="H176" s="165">
        <v>0.92090164845652989</v>
      </c>
      <c r="I176" s="165">
        <v>0.999</v>
      </c>
      <c r="K176" s="239"/>
      <c r="L176" s="239"/>
      <c r="M176" s="40"/>
      <c r="N176" s="45"/>
      <c r="O176" s="239"/>
      <c r="P176" s="239"/>
      <c r="Q176" s="239"/>
      <c r="R176" s="239"/>
      <c r="T176" s="239"/>
      <c r="U176" s="239"/>
      <c r="V176" s="239"/>
      <c r="W176" s="239"/>
    </row>
    <row r="177" spans="1:23" x14ac:dyDescent="0.2">
      <c r="A177" s="239" t="s">
        <v>266</v>
      </c>
      <c r="B177" s="165">
        <v>1.0029999999999999</v>
      </c>
      <c r="C177" s="165">
        <v>0.95899999999999996</v>
      </c>
      <c r="D177" s="165">
        <v>0.96299999999999997</v>
      </c>
      <c r="E177" s="165">
        <v>0.93300000000000005</v>
      </c>
      <c r="F177" s="165">
        <v>0.94499999999999995</v>
      </c>
      <c r="G177" s="165">
        <v>1.0049999999999999</v>
      </c>
      <c r="H177" s="165">
        <v>0.94950991933742523</v>
      </c>
      <c r="I177" s="165">
        <v>0.91100000000000003</v>
      </c>
      <c r="K177" s="239"/>
      <c r="L177" s="239"/>
      <c r="M177" s="40"/>
      <c r="N177" s="45"/>
      <c r="O177" s="239"/>
      <c r="P177" s="239"/>
      <c r="Q177" s="239"/>
      <c r="R177" s="239"/>
      <c r="T177" s="239"/>
      <c r="U177" s="239"/>
      <c r="V177" s="239"/>
      <c r="W177" s="239"/>
    </row>
    <row r="178" spans="1:23" x14ac:dyDescent="0.2">
      <c r="A178" s="239" t="s">
        <v>64</v>
      </c>
      <c r="B178" s="165">
        <v>0.95299999999999996</v>
      </c>
      <c r="C178" s="165">
        <v>0.91400000000000003</v>
      </c>
      <c r="D178" s="165">
        <v>0.93</v>
      </c>
      <c r="E178" s="165">
        <v>0.92200000000000004</v>
      </c>
      <c r="F178" s="165">
        <v>0.97</v>
      </c>
      <c r="G178" s="165">
        <v>0.91100000000000003</v>
      </c>
      <c r="H178" s="165">
        <v>0.92296592012509227</v>
      </c>
      <c r="I178" s="165">
        <v>0.95299999999999996</v>
      </c>
      <c r="K178" s="239"/>
      <c r="L178" s="239"/>
      <c r="M178" s="40"/>
      <c r="N178" s="45"/>
      <c r="O178" s="239"/>
      <c r="P178" s="239"/>
      <c r="Q178" s="239"/>
      <c r="R178" s="239"/>
      <c r="T178" s="239"/>
      <c r="U178" s="239"/>
      <c r="V178" s="239"/>
      <c r="W178" s="239"/>
    </row>
    <row r="179" spans="1:23" x14ac:dyDescent="0.2">
      <c r="A179" s="239" t="s">
        <v>267</v>
      </c>
      <c r="B179" s="165">
        <v>0.98599999999999999</v>
      </c>
      <c r="C179" s="165">
        <v>0.99299999999999999</v>
      </c>
      <c r="D179" s="165">
        <v>0.99</v>
      </c>
      <c r="E179" s="165">
        <v>0.97</v>
      </c>
      <c r="F179" s="165">
        <v>0.97299999999999998</v>
      </c>
      <c r="G179" s="165">
        <v>0.94499999999999995</v>
      </c>
      <c r="H179" s="165">
        <v>0.9715615119659291</v>
      </c>
      <c r="I179" s="165">
        <v>0.98899999999999999</v>
      </c>
      <c r="K179" s="239"/>
      <c r="L179" s="239"/>
      <c r="M179" s="40"/>
      <c r="N179" s="45"/>
      <c r="O179" s="239"/>
      <c r="P179" s="239"/>
      <c r="Q179" s="239"/>
      <c r="R179" s="239"/>
      <c r="T179" s="239"/>
      <c r="U179" s="239"/>
      <c r="V179" s="239"/>
      <c r="W179" s="239"/>
    </row>
    <row r="180" spans="1:23" x14ac:dyDescent="0.2">
      <c r="A180" s="239" t="s">
        <v>180</v>
      </c>
      <c r="B180" s="164">
        <v>0.97199999999999998</v>
      </c>
      <c r="C180" s="164">
        <v>0.95899999999999996</v>
      </c>
      <c r="D180" s="164">
        <v>0.95299999999999996</v>
      </c>
      <c r="E180" s="164">
        <v>0.92600000000000005</v>
      </c>
      <c r="F180" s="164">
        <v>0.95</v>
      </c>
      <c r="G180" s="164">
        <v>0.95699999999999996</v>
      </c>
      <c r="H180" s="164">
        <v>0.91700000000000004</v>
      </c>
      <c r="I180" s="164">
        <v>0.94</v>
      </c>
      <c r="K180" s="239"/>
      <c r="L180" s="239"/>
      <c r="M180" s="45"/>
      <c r="N180" s="45"/>
      <c r="O180" s="239"/>
      <c r="P180" s="239"/>
      <c r="Q180" s="239"/>
      <c r="R180" s="239"/>
      <c r="T180" s="239"/>
      <c r="U180" s="239"/>
      <c r="V180" s="239"/>
      <c r="W180" s="239"/>
    </row>
    <row r="181" spans="1:23" x14ac:dyDescent="0.2">
      <c r="A181" s="239"/>
      <c r="B181" s="239"/>
      <c r="C181" s="239"/>
      <c r="D181" s="239"/>
      <c r="E181" s="239"/>
      <c r="F181" s="239"/>
      <c r="G181" s="239"/>
      <c r="H181" s="239"/>
      <c r="I181" s="239"/>
      <c r="J181" s="239"/>
      <c r="K181" s="252"/>
      <c r="L181" s="239"/>
      <c r="M181" s="239"/>
      <c r="O181" s="239"/>
      <c r="P181" s="239"/>
      <c r="Q181" s="239"/>
      <c r="R181" s="239"/>
      <c r="T181" s="239"/>
      <c r="U181" s="239"/>
      <c r="V181" s="239"/>
      <c r="W181" s="239"/>
    </row>
    <row r="182" spans="1:23" x14ac:dyDescent="0.2">
      <c r="A182" s="239" t="s">
        <v>200</v>
      </c>
      <c r="B182" s="239"/>
      <c r="C182" s="42"/>
      <c r="D182" s="239"/>
      <c r="E182" s="239"/>
      <c r="F182" s="239"/>
      <c r="G182" s="239"/>
      <c r="H182" s="239"/>
      <c r="I182" s="239"/>
      <c r="J182" s="239"/>
      <c r="K182" s="252"/>
      <c r="L182" s="239"/>
      <c r="M182" s="239"/>
      <c r="O182" s="239"/>
      <c r="P182" s="239"/>
      <c r="Q182" s="239"/>
      <c r="R182" s="239"/>
      <c r="T182" s="239"/>
      <c r="U182" s="239"/>
      <c r="V182" s="239"/>
      <c r="W182" s="239"/>
    </row>
    <row r="183" spans="1:23" x14ac:dyDescent="0.2">
      <c r="K183" s="41"/>
    </row>
    <row r="184" spans="1:23" x14ac:dyDescent="0.2">
      <c r="K184" s="41"/>
    </row>
    <row r="185" spans="1:23" x14ac:dyDescent="0.2">
      <c r="K185" s="41"/>
    </row>
    <row r="186" spans="1:23" x14ac:dyDescent="0.2">
      <c r="K186" s="41"/>
    </row>
    <row r="187" spans="1:23" x14ac:dyDescent="0.2">
      <c r="K187" s="41"/>
    </row>
    <row r="188" spans="1:23" x14ac:dyDescent="0.2">
      <c r="K188" s="41"/>
    </row>
    <row r="189" spans="1:23" x14ac:dyDescent="0.2">
      <c r="K189" s="41"/>
    </row>
    <row r="190" spans="1:23" x14ac:dyDescent="0.2">
      <c r="K190" s="41"/>
    </row>
    <row r="191" spans="1:23" x14ac:dyDescent="0.2">
      <c r="K191" s="41"/>
    </row>
  </sheetData>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1"/>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2"/>
      <headerFooter alignWithMargins="0">
        <oddFooter>&amp;RPage &amp;P</oddFooter>
      </headerFooter>
    </customSheetView>
  </customSheetViews>
  <mergeCells count="7">
    <mergeCell ref="A172:M172"/>
    <mergeCell ref="A3:M3"/>
    <mergeCell ref="A4:M4"/>
    <mergeCell ref="T5:W5"/>
    <mergeCell ref="T7:W7"/>
    <mergeCell ref="O5:R5"/>
    <mergeCell ref="O7:R7"/>
  </mergeCells>
  <phoneticPr fontId="0" type="noConversion"/>
  <printOptions horizontalCentered="1"/>
  <pageMargins left="0.25" right="0.25" top="0.75" bottom="0.75" header="0.3" footer="0.3"/>
  <pageSetup paperSize="3" scale="61" fitToHeight="0" orientation="landscape" r:id="rId3"/>
  <headerFooter alignWithMargins="0"/>
  <rowBreaks count="2" manualBreakCount="2">
    <brk id="60" max="22" man="1"/>
    <brk id="116" max="22" man="1"/>
  </rowBreaks>
  <ignoredErrors>
    <ignoredError sqref="B46"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2"/>
  <sheetViews>
    <sheetView showGridLines="0" view="pageBreakPreview" topLeftCell="B1" zoomScaleNormal="100" zoomScaleSheetLayoutView="100" workbookViewId="0">
      <selection activeCell="C7" sqref="C7:N7"/>
    </sheetView>
  </sheetViews>
  <sheetFormatPr defaultRowHeight="14.25" x14ac:dyDescent="0.2"/>
  <cols>
    <col min="1" max="1" width="2.5703125" hidden="1" customWidth="1"/>
    <col min="2" max="2" width="5.140625" style="26"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4" customWidth="1"/>
    <col min="18" max="18" width="9.42578125" customWidth="1"/>
  </cols>
  <sheetData>
    <row r="1" spans="1:15" s="6" customFormat="1" ht="41.25" customHeight="1" x14ac:dyDescent="0.2">
      <c r="B1" s="25"/>
      <c r="C1" s="7"/>
      <c r="E1" s="8"/>
      <c r="F1" s="9"/>
      <c r="G1" s="9"/>
      <c r="K1" s="33"/>
      <c r="M1" s="7"/>
      <c r="O1" s="23"/>
    </row>
    <row r="2" spans="1:15" s="6" customFormat="1" ht="13.5" customHeight="1" x14ac:dyDescent="0.2">
      <c r="B2" s="28" t="str">
        <f>Report!A2</f>
        <v>Updated: October 26, 2015</v>
      </c>
      <c r="C2" s="28"/>
      <c r="D2" s="10"/>
      <c r="M2" s="7"/>
      <c r="O2" s="23"/>
    </row>
    <row r="3" spans="1:15" s="6" customFormat="1" ht="16.5" customHeight="1" x14ac:dyDescent="0.2">
      <c r="B3" s="29" t="str">
        <f>Report!A3</f>
        <v>Revisions Noted in Bold</v>
      </c>
      <c r="C3" s="29"/>
      <c r="D3" s="29"/>
      <c r="E3" s="29"/>
      <c r="F3" s="29"/>
      <c r="G3" s="29"/>
      <c r="H3" s="29"/>
      <c r="I3" s="29"/>
      <c r="J3" s="29"/>
      <c r="K3" s="29"/>
      <c r="L3" s="29"/>
      <c r="M3" s="29"/>
      <c r="N3" s="29"/>
      <c r="O3" s="23"/>
    </row>
    <row r="5" spans="1:15" ht="14.45" customHeight="1" x14ac:dyDescent="0.2">
      <c r="B5" s="540" t="s">
        <v>60</v>
      </c>
      <c r="C5" s="540"/>
      <c r="D5" s="14"/>
      <c r="E5" s="15"/>
      <c r="F5" s="16"/>
      <c r="G5" s="12"/>
      <c r="H5" s="12"/>
      <c r="I5" s="13"/>
      <c r="J5" s="17"/>
      <c r="K5" s="18"/>
      <c r="L5" s="18"/>
      <c r="M5" s="19"/>
      <c r="N5" s="20"/>
    </row>
    <row r="6" spans="1:15" x14ac:dyDescent="0.2">
      <c r="A6" s="21"/>
      <c r="C6" s="2"/>
      <c r="D6" s="1"/>
      <c r="E6" s="2"/>
      <c r="F6" s="1"/>
      <c r="G6" s="3"/>
      <c r="H6" s="3"/>
      <c r="I6" s="2"/>
      <c r="J6" s="2"/>
      <c r="K6" s="2"/>
      <c r="L6" s="2"/>
      <c r="M6" s="11"/>
      <c r="N6" s="2"/>
    </row>
    <row r="7" spans="1:15" s="32" customFormat="1" x14ac:dyDescent="0.2">
      <c r="A7" s="27"/>
      <c r="B7" s="139" t="s">
        <v>76</v>
      </c>
      <c r="C7" s="537" t="s">
        <v>75</v>
      </c>
      <c r="D7" s="541"/>
      <c r="E7" s="541"/>
      <c r="F7" s="541"/>
      <c r="G7" s="541"/>
      <c r="H7" s="541"/>
      <c r="I7" s="541"/>
      <c r="J7" s="541"/>
      <c r="K7" s="541"/>
      <c r="L7" s="541"/>
      <c r="M7" s="541"/>
      <c r="N7" s="541"/>
      <c r="O7" s="24"/>
    </row>
    <row r="8" spans="1:15" s="32" customFormat="1" ht="62.25" customHeight="1" x14ac:dyDescent="0.2">
      <c r="A8" s="27"/>
      <c r="B8" s="139" t="s">
        <v>77</v>
      </c>
      <c r="C8" s="537" t="s">
        <v>260</v>
      </c>
      <c r="D8" s="538"/>
      <c r="E8" s="538"/>
      <c r="F8" s="538"/>
      <c r="G8" s="538"/>
      <c r="H8" s="538"/>
      <c r="I8" s="538"/>
      <c r="J8" s="538"/>
      <c r="K8" s="538"/>
      <c r="L8" s="538"/>
      <c r="M8" s="538"/>
      <c r="N8" s="538"/>
      <c r="O8" s="24"/>
    </row>
    <row r="9" spans="1:15" s="32" customFormat="1" ht="51" customHeight="1" x14ac:dyDescent="0.2">
      <c r="A9" s="27"/>
      <c r="B9" s="139" t="s">
        <v>78</v>
      </c>
      <c r="C9" s="537" t="s">
        <v>261</v>
      </c>
      <c r="D9" s="541"/>
      <c r="E9" s="541"/>
      <c r="F9" s="541"/>
      <c r="G9" s="541"/>
      <c r="H9" s="541"/>
      <c r="I9" s="541"/>
      <c r="J9" s="541"/>
      <c r="K9" s="541"/>
      <c r="L9" s="541"/>
      <c r="M9" s="541"/>
      <c r="N9" s="541"/>
      <c r="O9" s="24"/>
    </row>
    <row r="10" spans="1:15" s="32" customFormat="1" ht="27" customHeight="1" x14ac:dyDescent="0.2">
      <c r="A10" s="27"/>
      <c r="B10" s="139" t="s">
        <v>79</v>
      </c>
      <c r="C10" s="537" t="s">
        <v>98</v>
      </c>
      <c r="D10" s="541"/>
      <c r="E10" s="541"/>
      <c r="F10" s="541"/>
      <c r="G10" s="541"/>
      <c r="H10" s="541"/>
      <c r="I10" s="541"/>
      <c r="J10" s="541"/>
      <c r="K10" s="541"/>
      <c r="L10" s="541"/>
      <c r="M10" s="541"/>
      <c r="N10" s="541"/>
      <c r="O10" s="24"/>
    </row>
    <row r="11" spans="1:15" s="32" customFormat="1" x14ac:dyDescent="0.2">
      <c r="A11" s="27"/>
      <c r="B11" s="139" t="s">
        <v>80</v>
      </c>
      <c r="C11" s="537" t="s">
        <v>88</v>
      </c>
      <c r="D11" s="541"/>
      <c r="E11" s="541"/>
      <c r="F11" s="541"/>
      <c r="G11" s="541"/>
      <c r="H11" s="541"/>
      <c r="I11" s="541"/>
      <c r="J11" s="541"/>
      <c r="K11" s="541"/>
      <c r="L11" s="541"/>
      <c r="M11" s="541"/>
      <c r="N11" s="541"/>
      <c r="O11" s="24"/>
    </row>
    <row r="12" spans="1:15" s="21" customFormat="1" ht="14.25" customHeight="1" x14ac:dyDescent="0.2">
      <c r="A12" s="27"/>
      <c r="B12" s="139" t="s">
        <v>81</v>
      </c>
      <c r="C12" s="537" t="s">
        <v>255</v>
      </c>
      <c r="D12" s="541"/>
      <c r="E12" s="541"/>
      <c r="F12" s="541"/>
      <c r="G12" s="541"/>
      <c r="H12" s="541"/>
      <c r="I12" s="541"/>
      <c r="J12" s="541"/>
      <c r="K12" s="541"/>
      <c r="L12" s="541"/>
      <c r="M12" s="541"/>
      <c r="N12" s="541"/>
      <c r="O12" s="24"/>
    </row>
    <row r="13" spans="1:15" s="32" customFormat="1" ht="27" customHeight="1" x14ac:dyDescent="0.2">
      <c r="A13" s="27"/>
      <c r="B13" s="139" t="s">
        <v>82</v>
      </c>
      <c r="C13" s="537" t="s">
        <v>262</v>
      </c>
      <c r="D13" s="541"/>
      <c r="E13" s="541"/>
      <c r="F13" s="541"/>
      <c r="G13" s="541"/>
      <c r="H13" s="541"/>
      <c r="I13" s="541"/>
      <c r="J13" s="541"/>
      <c r="K13" s="541"/>
      <c r="L13" s="541"/>
      <c r="M13" s="541"/>
      <c r="N13" s="541"/>
      <c r="O13" s="24"/>
    </row>
    <row r="14" spans="1:15" s="32" customFormat="1" ht="15" customHeight="1" x14ac:dyDescent="0.2">
      <c r="A14" s="27"/>
      <c r="B14" s="139" t="s">
        <v>83</v>
      </c>
      <c r="C14" s="537" t="s">
        <v>3</v>
      </c>
      <c r="D14" s="541"/>
      <c r="E14" s="541"/>
      <c r="F14" s="541"/>
      <c r="G14" s="541"/>
      <c r="H14" s="541"/>
      <c r="I14" s="541"/>
      <c r="J14" s="541"/>
      <c r="K14" s="541"/>
      <c r="L14" s="541"/>
      <c r="M14" s="541"/>
      <c r="N14" s="541"/>
      <c r="O14" s="24"/>
    </row>
    <row r="15" spans="1:15" s="32" customFormat="1" x14ac:dyDescent="0.2">
      <c r="A15" s="27"/>
      <c r="B15" s="139" t="s">
        <v>84</v>
      </c>
      <c r="C15" s="535" t="s">
        <v>232</v>
      </c>
      <c r="D15" s="535"/>
      <c r="E15" s="535"/>
      <c r="F15" s="535"/>
      <c r="G15" s="535"/>
      <c r="H15" s="535"/>
      <c r="I15" s="535"/>
      <c r="J15" s="535"/>
      <c r="K15" s="535"/>
      <c r="L15" s="535"/>
      <c r="M15" s="535"/>
      <c r="N15" s="535"/>
      <c r="O15" s="24"/>
    </row>
    <row r="16" spans="1:15" s="32" customFormat="1" ht="29.1" customHeight="1" x14ac:dyDescent="0.2">
      <c r="A16" s="27"/>
      <c r="B16" s="139" t="s">
        <v>85</v>
      </c>
      <c r="C16" s="537" t="s">
        <v>5</v>
      </c>
      <c r="D16" s="541"/>
      <c r="E16" s="541"/>
      <c r="F16" s="541"/>
      <c r="G16" s="541"/>
      <c r="H16" s="541"/>
      <c r="I16" s="541"/>
      <c r="J16" s="541"/>
      <c r="K16" s="541"/>
      <c r="L16" s="541"/>
      <c r="M16" s="541"/>
      <c r="N16" s="541"/>
      <c r="O16" s="24"/>
    </row>
    <row r="17" spans="1:19" s="21" customFormat="1" ht="29.25" customHeight="1" x14ac:dyDescent="0.2">
      <c r="A17" s="27"/>
      <c r="B17" s="364" t="s">
        <v>86</v>
      </c>
      <c r="C17" s="537" t="s">
        <v>259</v>
      </c>
      <c r="D17" s="538"/>
      <c r="E17" s="538"/>
      <c r="F17" s="538"/>
      <c r="G17" s="538"/>
      <c r="H17" s="538"/>
      <c r="I17" s="538"/>
      <c r="J17" s="538"/>
      <c r="K17" s="538"/>
      <c r="L17" s="538"/>
      <c r="M17" s="538"/>
      <c r="N17" s="538"/>
      <c r="O17" s="24"/>
    </row>
    <row r="18" spans="1:19" ht="28.5" customHeight="1" x14ac:dyDescent="0.2">
      <c r="B18" s="364" t="s">
        <v>8</v>
      </c>
      <c r="C18" s="535" t="s">
        <v>230</v>
      </c>
      <c r="D18" s="535"/>
      <c r="E18" s="535"/>
      <c r="F18" s="535"/>
      <c r="G18" s="535"/>
      <c r="H18" s="535"/>
      <c r="I18" s="535"/>
      <c r="J18" s="535"/>
      <c r="K18" s="535"/>
      <c r="L18" s="535"/>
      <c r="M18" s="535"/>
      <c r="N18" s="22"/>
      <c r="O18" s="180"/>
      <c r="S18" s="22"/>
    </row>
    <row r="19" spans="1:19" s="32" customFormat="1" ht="16.5" customHeight="1" x14ac:dyDescent="0.2">
      <c r="A19" s="27"/>
      <c r="B19" s="364" t="s">
        <v>2</v>
      </c>
      <c r="C19" s="537" t="s">
        <v>263</v>
      </c>
      <c r="D19" s="537"/>
      <c r="E19" s="537"/>
      <c r="F19" s="537"/>
      <c r="G19" s="537"/>
      <c r="H19" s="537"/>
      <c r="I19" s="537"/>
      <c r="J19" s="537"/>
      <c r="K19" s="537"/>
      <c r="L19" s="537"/>
      <c r="M19" s="537"/>
      <c r="N19" s="537"/>
      <c r="O19" s="180"/>
    </row>
    <row r="20" spans="1:19" s="32" customFormat="1" ht="27.75" customHeight="1" x14ac:dyDescent="0.2">
      <c r="A20" s="27"/>
      <c r="B20" s="364" t="s">
        <v>7</v>
      </c>
      <c r="C20" s="537" t="s">
        <v>89</v>
      </c>
      <c r="D20" s="537"/>
      <c r="E20" s="537"/>
      <c r="F20" s="537"/>
      <c r="G20" s="537"/>
      <c r="H20" s="537"/>
      <c r="I20" s="537"/>
      <c r="J20" s="537"/>
      <c r="K20" s="537"/>
      <c r="L20" s="537"/>
      <c r="M20" s="537"/>
      <c r="N20" s="537"/>
      <c r="O20" s="180"/>
    </row>
    <row r="21" spans="1:19" ht="26.25" customHeight="1" x14ac:dyDescent="0.2">
      <c r="A21" s="26"/>
      <c r="B21" s="364" t="s">
        <v>87</v>
      </c>
      <c r="C21" s="535" t="s">
        <v>90</v>
      </c>
      <c r="D21" s="535"/>
      <c r="E21" s="535"/>
      <c r="F21" s="535"/>
      <c r="G21" s="535"/>
      <c r="H21" s="535"/>
      <c r="I21" s="535"/>
      <c r="J21" s="535"/>
      <c r="K21" s="535"/>
      <c r="L21" s="535"/>
      <c r="M21" s="535"/>
      <c r="N21" s="535"/>
      <c r="O21" s="180"/>
    </row>
    <row r="22" spans="1:19" ht="24.75" customHeight="1" x14ac:dyDescent="0.2">
      <c r="A22" s="176"/>
      <c r="B22" s="364" t="s">
        <v>92</v>
      </c>
      <c r="C22" s="536" t="s">
        <v>222</v>
      </c>
      <c r="D22" s="536"/>
      <c r="E22" s="536"/>
      <c r="F22" s="536"/>
      <c r="G22" s="536"/>
      <c r="H22" s="536"/>
      <c r="I22" s="536"/>
      <c r="J22" s="536"/>
      <c r="K22" s="536"/>
      <c r="L22" s="536"/>
      <c r="M22" s="536"/>
      <c r="N22" s="239"/>
      <c r="O22" s="180"/>
      <c r="S22" s="22"/>
    </row>
    <row r="23" spans="1:19" ht="26.25" customHeight="1" x14ac:dyDescent="0.2">
      <c r="B23" s="364" t="s">
        <v>1</v>
      </c>
      <c r="C23" s="536" t="s">
        <v>264</v>
      </c>
      <c r="D23" s="536"/>
      <c r="E23" s="536"/>
      <c r="F23" s="536"/>
      <c r="G23" s="536"/>
      <c r="H23" s="536"/>
      <c r="I23" s="536"/>
      <c r="J23" s="536"/>
      <c r="K23" s="536"/>
      <c r="L23" s="536"/>
      <c r="M23" s="536"/>
      <c r="N23" s="536"/>
      <c r="S23" s="22"/>
    </row>
    <row r="24" spans="1:19" ht="28.5" customHeight="1" x14ac:dyDescent="0.2">
      <c r="B24" s="364" t="s">
        <v>4</v>
      </c>
      <c r="C24" s="537" t="s">
        <v>215</v>
      </c>
      <c r="D24" s="538"/>
      <c r="E24" s="538"/>
      <c r="F24" s="538"/>
      <c r="G24" s="538"/>
      <c r="H24" s="538"/>
      <c r="I24" s="538"/>
      <c r="J24" s="538"/>
      <c r="K24" s="538"/>
      <c r="L24" s="538"/>
      <c r="M24" s="538"/>
      <c r="N24" s="538"/>
      <c r="S24" s="22"/>
    </row>
    <row r="25" spans="1:19" ht="12.75" x14ac:dyDescent="0.2">
      <c r="B25" s="364" t="s">
        <v>6</v>
      </c>
      <c r="C25" s="537" t="s">
        <v>235</v>
      </c>
      <c r="D25" s="537"/>
      <c r="E25" s="537"/>
      <c r="F25" s="537"/>
      <c r="G25" s="537"/>
      <c r="H25" s="537"/>
      <c r="I25" s="537"/>
      <c r="J25" s="537"/>
      <c r="K25" s="537"/>
      <c r="L25" s="537"/>
      <c r="M25" s="537"/>
      <c r="N25" s="537"/>
      <c r="O25"/>
      <c r="S25" s="22"/>
    </row>
    <row r="26" spans="1:19" s="22" customFormat="1" ht="12.75" x14ac:dyDescent="0.2">
      <c r="B26" s="524" t="s">
        <v>244</v>
      </c>
      <c r="C26" s="539" t="s">
        <v>271</v>
      </c>
      <c r="D26" s="539"/>
      <c r="E26" s="539"/>
      <c r="F26" s="539"/>
      <c r="G26" s="539"/>
      <c r="H26" s="539"/>
      <c r="I26" s="539"/>
      <c r="J26" s="539"/>
      <c r="K26" s="539"/>
      <c r="L26" s="539"/>
      <c r="M26" s="539"/>
      <c r="N26" s="539"/>
    </row>
    <row r="27" spans="1:19" ht="12.75" x14ac:dyDescent="0.2">
      <c r="B27" s="523" t="s">
        <v>258</v>
      </c>
      <c r="C27" s="539" t="s">
        <v>270</v>
      </c>
      <c r="D27" s="539"/>
      <c r="E27" s="539"/>
      <c r="F27" s="539"/>
      <c r="G27" s="539"/>
      <c r="H27" s="539"/>
      <c r="I27" s="539"/>
      <c r="J27" s="539"/>
      <c r="K27" s="539"/>
      <c r="L27" s="539"/>
      <c r="M27" s="539"/>
      <c r="N27" s="539"/>
      <c r="O27"/>
      <c r="S27" s="22"/>
    </row>
    <row r="28" spans="1:19" ht="12.75" x14ac:dyDescent="0.2">
      <c r="B28"/>
      <c r="O28"/>
      <c r="S28" s="22"/>
    </row>
    <row r="29" spans="1:19" ht="12.75" x14ac:dyDescent="0.2">
      <c r="B29"/>
      <c r="O29"/>
      <c r="S29" s="22"/>
    </row>
    <row r="30" spans="1:19" ht="12.75" x14ac:dyDescent="0.2">
      <c r="B30"/>
      <c r="O30"/>
      <c r="S30" s="22"/>
    </row>
    <row r="31" spans="1:19" ht="12.75" x14ac:dyDescent="0.2">
      <c r="B31"/>
      <c r="O31"/>
      <c r="S31" s="22"/>
    </row>
    <row r="32" spans="1:19" ht="12.75" x14ac:dyDescent="0.2">
      <c r="B32"/>
      <c r="O32"/>
      <c r="S32" s="22"/>
    </row>
    <row r="33" spans="2:19" ht="12.75" x14ac:dyDescent="0.2">
      <c r="B33"/>
      <c r="O33"/>
      <c r="S33" s="22"/>
    </row>
    <row r="34" spans="2:19" ht="12.75" x14ac:dyDescent="0.2">
      <c r="B34"/>
      <c r="O34"/>
      <c r="S34" s="22"/>
    </row>
    <row r="35" spans="2:19" ht="12.75" x14ac:dyDescent="0.2">
      <c r="B35"/>
      <c r="O35"/>
      <c r="S35" s="22"/>
    </row>
    <row r="36" spans="2:19" ht="12.75" x14ac:dyDescent="0.2">
      <c r="B36"/>
      <c r="O36"/>
      <c r="S36" s="22"/>
    </row>
    <row r="37" spans="2:19" ht="12.75" x14ac:dyDescent="0.2">
      <c r="B37"/>
      <c r="O37"/>
      <c r="S37" s="22"/>
    </row>
    <row r="38" spans="2:19" ht="12.75" x14ac:dyDescent="0.2">
      <c r="B38"/>
      <c r="O38"/>
      <c r="S38" s="22"/>
    </row>
    <row r="39" spans="2:19" ht="12.75" x14ac:dyDescent="0.2">
      <c r="B39"/>
      <c r="O39"/>
      <c r="S39" s="22"/>
    </row>
    <row r="40" spans="2:19" ht="12.75" x14ac:dyDescent="0.2">
      <c r="B40"/>
      <c r="O40"/>
      <c r="S40" s="22"/>
    </row>
    <row r="41" spans="2:19" ht="12.75" x14ac:dyDescent="0.2">
      <c r="B41"/>
      <c r="O41"/>
      <c r="S41" s="22"/>
    </row>
    <row r="42" spans="2:19" ht="12.75" x14ac:dyDescent="0.2">
      <c r="B42"/>
      <c r="O42"/>
      <c r="S42" s="22"/>
    </row>
    <row r="43" spans="2:19" ht="12.75" x14ac:dyDescent="0.2">
      <c r="B43"/>
      <c r="O43"/>
      <c r="S43" s="22"/>
    </row>
    <row r="44" spans="2:19" ht="12.75" x14ac:dyDescent="0.2">
      <c r="B44"/>
      <c r="O44"/>
      <c r="S44" s="22"/>
    </row>
    <row r="45" spans="2:19" ht="12.75" x14ac:dyDescent="0.2">
      <c r="B45"/>
      <c r="O45"/>
      <c r="S45" s="22"/>
    </row>
    <row r="46" spans="2:19" ht="12.75" x14ac:dyDescent="0.2">
      <c r="B46"/>
      <c r="O46"/>
      <c r="S46" s="22"/>
    </row>
    <row r="47" spans="2:19" ht="12.75" x14ac:dyDescent="0.2">
      <c r="B47"/>
      <c r="O47"/>
      <c r="S47" s="22"/>
    </row>
    <row r="48" spans="2:19" ht="12.75" x14ac:dyDescent="0.2">
      <c r="B48"/>
      <c r="O48"/>
      <c r="S48" s="22"/>
    </row>
    <row r="49" spans="2:19" ht="12.75" x14ac:dyDescent="0.2">
      <c r="B49"/>
      <c r="O49"/>
      <c r="S49" s="22"/>
    </row>
    <row r="50" spans="2:19" ht="12.75" x14ac:dyDescent="0.2">
      <c r="B50"/>
      <c r="O50"/>
      <c r="S50" s="22"/>
    </row>
    <row r="51" spans="2:19" ht="12.75" x14ac:dyDescent="0.2">
      <c r="B51"/>
      <c r="O51"/>
      <c r="S51" s="22"/>
    </row>
    <row r="52" spans="2:19" ht="12.75" x14ac:dyDescent="0.2">
      <c r="B52"/>
      <c r="O52"/>
      <c r="S52" s="22"/>
    </row>
    <row r="53" spans="2:19" ht="12.75" x14ac:dyDescent="0.2">
      <c r="B53"/>
      <c r="O53"/>
      <c r="S53" s="22"/>
    </row>
    <row r="54" spans="2:19" ht="12.75" x14ac:dyDescent="0.2">
      <c r="B54"/>
      <c r="O54"/>
      <c r="S54" s="22"/>
    </row>
    <row r="55" spans="2:19" ht="12.75" x14ac:dyDescent="0.2">
      <c r="B55"/>
      <c r="O55"/>
      <c r="S55" s="22"/>
    </row>
    <row r="56" spans="2:19" ht="12.75" x14ac:dyDescent="0.2">
      <c r="B56"/>
      <c r="O56"/>
      <c r="S56" s="22"/>
    </row>
    <row r="57" spans="2:19" ht="12.75" x14ac:dyDescent="0.2">
      <c r="B57"/>
      <c r="O57"/>
      <c r="S57" s="22"/>
    </row>
    <row r="58" spans="2:19" ht="12.75" x14ac:dyDescent="0.2">
      <c r="B58"/>
      <c r="O58"/>
      <c r="S58" s="22"/>
    </row>
    <row r="59" spans="2:19" ht="12.75" x14ac:dyDescent="0.2">
      <c r="B59"/>
      <c r="O59"/>
      <c r="S59" s="22"/>
    </row>
    <row r="60" spans="2:19" ht="12.75" x14ac:dyDescent="0.2">
      <c r="B60"/>
      <c r="O60"/>
      <c r="S60" s="22"/>
    </row>
    <row r="61" spans="2:19" ht="12.75" x14ac:dyDescent="0.2">
      <c r="B61"/>
      <c r="O61"/>
      <c r="S61" s="22"/>
    </row>
    <row r="62" spans="2:19" ht="12.75" x14ac:dyDescent="0.2">
      <c r="B62"/>
      <c r="O62"/>
      <c r="S62" s="22"/>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2">
    <mergeCell ref="C26:N26"/>
    <mergeCell ref="C27:N27"/>
    <mergeCell ref="B5:C5"/>
    <mergeCell ref="C9:N9"/>
    <mergeCell ref="C7:N7"/>
    <mergeCell ref="C8:N8"/>
    <mergeCell ref="C10:N10"/>
    <mergeCell ref="C25:N25"/>
    <mergeCell ref="C11:N11"/>
    <mergeCell ref="C12:N12"/>
    <mergeCell ref="C13:N13"/>
    <mergeCell ref="C14:N14"/>
    <mergeCell ref="C15:N15"/>
    <mergeCell ref="C16:N16"/>
    <mergeCell ref="C21:N21"/>
    <mergeCell ref="C17:N17"/>
    <mergeCell ref="C18:M18"/>
    <mergeCell ref="C22:M22"/>
    <mergeCell ref="C20:N20"/>
    <mergeCell ref="C24:N24"/>
    <mergeCell ref="C19:N19"/>
    <mergeCell ref="C23:N23"/>
  </mergeCells>
  <phoneticPr fontId="18"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79"/>
  <sheetViews>
    <sheetView view="pageBreakPreview" zoomScale="85" zoomScaleNormal="100" zoomScaleSheetLayoutView="85" workbookViewId="0">
      <selection activeCell="A40" sqref="A40"/>
    </sheetView>
  </sheetViews>
  <sheetFormatPr defaultRowHeight="12.75" x14ac:dyDescent="0.2"/>
  <cols>
    <col min="1" max="1" width="31.7109375" style="49" customWidth="1"/>
    <col min="2" max="2" width="13.7109375" style="49" customWidth="1"/>
    <col min="3" max="16" width="9.140625" style="49"/>
    <col min="17" max="17" width="9.42578125" style="84" customWidth="1"/>
    <col min="18" max="16384" width="9.140625" style="84"/>
  </cols>
  <sheetData>
    <row r="1" spans="1:16" s="47" customFormat="1" ht="41.25" customHeight="1" x14ac:dyDescent="0.2">
      <c r="C1" s="48"/>
      <c r="D1" s="80"/>
      <c r="E1" s="80"/>
      <c r="J1" s="81"/>
    </row>
    <row r="2" spans="1:16" s="47" customFormat="1" ht="13.5" customHeight="1" x14ac:dyDescent="0.2">
      <c r="A2" s="82" t="str">
        <f>Report!A2</f>
        <v>Updated: October 26, 2015</v>
      </c>
      <c r="B2" s="83"/>
    </row>
    <row r="3" spans="1:16" s="47" customFormat="1" ht="16.5" customHeight="1" x14ac:dyDescent="0.2">
      <c r="A3" s="542" t="str">
        <f>Report!A3</f>
        <v>Revisions Noted in Bold</v>
      </c>
      <c r="B3" s="542"/>
      <c r="C3" s="542"/>
      <c r="D3" s="542"/>
      <c r="E3" s="542"/>
      <c r="F3" s="542"/>
      <c r="G3" s="542"/>
      <c r="H3" s="542"/>
      <c r="I3" s="542"/>
      <c r="J3" s="542"/>
      <c r="K3" s="542"/>
      <c r="L3" s="542"/>
    </row>
    <row r="4" spans="1:16" s="47" customFormat="1" ht="16.5" customHeight="1" x14ac:dyDescent="0.2">
      <c r="A4" s="390"/>
      <c r="B4" s="391"/>
      <c r="C4" s="391"/>
      <c r="D4" s="391"/>
      <c r="E4" s="391"/>
      <c r="F4" s="391"/>
      <c r="G4" s="391"/>
      <c r="H4" s="391"/>
      <c r="I4" s="391"/>
      <c r="J4" s="391"/>
      <c r="K4" s="391"/>
      <c r="L4" s="391"/>
    </row>
    <row r="5" spans="1:16" ht="15" x14ac:dyDescent="0.2">
      <c r="A5" s="365" t="s">
        <v>15</v>
      </c>
      <c r="B5" s="366" t="s">
        <v>70</v>
      </c>
    </row>
    <row r="6" spans="1:16" ht="16.5" customHeight="1" x14ac:dyDescent="0.2">
      <c r="A6" s="69" t="s">
        <v>269</v>
      </c>
      <c r="B6" s="66"/>
      <c r="C6" s="75"/>
      <c r="D6" s="70"/>
      <c r="E6" s="71"/>
      <c r="F6" s="70"/>
      <c r="G6" s="70"/>
      <c r="H6" s="72"/>
      <c r="I6" s="70"/>
      <c r="J6" s="70"/>
      <c r="K6" s="70"/>
      <c r="L6" s="70"/>
      <c r="M6" s="70"/>
      <c r="N6" s="70"/>
      <c r="O6" s="73"/>
      <c r="P6" s="73"/>
    </row>
    <row r="7" spans="1:16" ht="8.25" customHeight="1" x14ac:dyDescent="0.2">
      <c r="A7" s="186"/>
      <c r="B7" s="85"/>
      <c r="C7" s="86"/>
      <c r="D7" s="86"/>
      <c r="E7" s="86"/>
      <c r="F7" s="86"/>
      <c r="G7" s="86"/>
      <c r="H7" s="86"/>
      <c r="I7" s="86"/>
      <c r="J7" s="86"/>
      <c r="K7" s="86"/>
      <c r="L7" s="86"/>
      <c r="M7" s="86"/>
      <c r="N7" s="86"/>
      <c r="O7" s="86"/>
      <c r="P7" s="86"/>
    </row>
    <row r="8" spans="1:16" s="47" customFormat="1" ht="12.75" customHeight="1" x14ac:dyDescent="0.2">
      <c r="A8" s="475" t="s">
        <v>127</v>
      </c>
      <c r="B8" s="476">
        <v>42078</v>
      </c>
      <c r="C8" s="477"/>
      <c r="D8" s="477"/>
      <c r="E8" s="478"/>
      <c r="F8" s="478"/>
      <c r="G8" s="479"/>
      <c r="H8" s="479"/>
      <c r="I8" s="479"/>
      <c r="J8" s="480"/>
      <c r="K8" s="481"/>
      <c r="L8" s="482"/>
      <c r="M8" s="406"/>
      <c r="N8" s="406"/>
      <c r="O8" s="406"/>
      <c r="P8" s="406"/>
    </row>
    <row r="9" spans="1:16" s="47" customFormat="1" ht="12.75" customHeight="1" x14ac:dyDescent="0.2">
      <c r="A9" s="181" t="s">
        <v>129</v>
      </c>
      <c r="B9" s="414">
        <v>42081</v>
      </c>
      <c r="C9" s="182"/>
      <c r="D9" s="182"/>
      <c r="E9" s="183"/>
      <c r="F9" s="183"/>
      <c r="G9" s="184"/>
      <c r="H9" s="184"/>
      <c r="I9" s="184"/>
      <c r="J9" s="30"/>
      <c r="K9" s="185"/>
      <c r="L9" s="88"/>
      <c r="M9" s="253"/>
      <c r="N9" s="253"/>
      <c r="O9" s="253"/>
      <c r="P9" s="253"/>
    </row>
    <row r="10" spans="1:16" s="376" customFormat="1" ht="12.75" customHeight="1" x14ac:dyDescent="0.2">
      <c r="A10" s="475" t="s">
        <v>130</v>
      </c>
      <c r="B10" s="476">
        <v>42081</v>
      </c>
      <c r="C10" s="477"/>
      <c r="D10" s="477"/>
      <c r="E10" s="478"/>
      <c r="F10" s="478"/>
      <c r="G10" s="479"/>
      <c r="H10" s="479"/>
      <c r="I10" s="479"/>
      <c r="J10" s="480"/>
      <c r="K10" s="481"/>
      <c r="L10" s="482"/>
      <c r="M10" s="406"/>
      <c r="N10" s="406"/>
      <c r="O10" s="406"/>
      <c r="P10" s="406"/>
    </row>
    <row r="11" spans="1:16" s="47" customFormat="1" ht="12.75" customHeight="1" x14ac:dyDescent="0.2">
      <c r="A11" s="181" t="s">
        <v>133</v>
      </c>
      <c r="B11" s="414">
        <v>42081</v>
      </c>
      <c r="C11" s="182"/>
      <c r="D11" s="182"/>
      <c r="E11" s="183"/>
      <c r="F11" s="183"/>
      <c r="G11" s="184"/>
      <c r="H11" s="184"/>
      <c r="I11" s="184"/>
      <c r="J11" s="30"/>
      <c r="K11" s="185"/>
      <c r="L11" s="88"/>
      <c r="M11" s="253"/>
      <c r="N11" s="253"/>
      <c r="O11" s="253"/>
      <c r="P11" s="253"/>
    </row>
    <row r="12" spans="1:16" x14ac:dyDescent="0.2">
      <c r="A12" s="475" t="s">
        <v>128</v>
      </c>
      <c r="B12" s="476">
        <v>42156</v>
      </c>
      <c r="C12" s="477"/>
      <c r="D12" s="477"/>
      <c r="E12" s="478"/>
      <c r="F12" s="478"/>
      <c r="G12" s="479"/>
      <c r="H12" s="479"/>
      <c r="I12" s="479"/>
      <c r="J12" s="480"/>
      <c r="K12" s="481"/>
      <c r="L12" s="482"/>
      <c r="M12" s="406"/>
      <c r="N12" s="406"/>
      <c r="O12" s="406"/>
      <c r="P12" s="406"/>
    </row>
    <row r="13" spans="1:16" x14ac:dyDescent="0.2">
      <c r="A13" s="181" t="s">
        <v>159</v>
      </c>
      <c r="B13" s="444">
        <v>42186</v>
      </c>
      <c r="C13" s="182"/>
      <c r="D13" s="182"/>
      <c r="E13" s="183"/>
      <c r="F13" s="183"/>
      <c r="G13" s="184"/>
      <c r="H13" s="184"/>
      <c r="I13" s="184"/>
      <c r="J13" s="30"/>
      <c r="K13" s="185"/>
      <c r="L13" s="88"/>
      <c r="M13" s="253"/>
      <c r="N13" s="253"/>
      <c r="O13" s="253"/>
      <c r="P13" s="253"/>
    </row>
    <row r="14" spans="1:16" x14ac:dyDescent="0.2">
      <c r="A14" s="483" t="s">
        <v>211</v>
      </c>
      <c r="B14" s="484">
        <v>42187</v>
      </c>
      <c r="C14" s="477"/>
      <c r="D14" s="477"/>
      <c r="E14" s="478"/>
      <c r="F14" s="478"/>
      <c r="G14" s="479"/>
      <c r="H14" s="479"/>
      <c r="I14" s="479"/>
      <c r="J14" s="480"/>
      <c r="K14" s="481"/>
      <c r="L14" s="482"/>
      <c r="M14" s="406"/>
      <c r="N14" s="406"/>
      <c r="O14" s="406"/>
      <c r="P14" s="406"/>
    </row>
    <row r="15" spans="1:16" x14ac:dyDescent="0.2">
      <c r="A15" s="415" t="s">
        <v>126</v>
      </c>
      <c r="B15" s="416">
        <v>42248</v>
      </c>
      <c r="C15" s="182"/>
      <c r="D15" s="182"/>
      <c r="E15" s="183"/>
      <c r="F15" s="183"/>
      <c r="G15" s="184"/>
      <c r="H15" s="184"/>
      <c r="I15" s="184"/>
      <c r="J15" s="30"/>
      <c r="K15" s="185"/>
      <c r="L15" s="88"/>
      <c r="M15" s="253"/>
      <c r="N15" s="253"/>
      <c r="O15" s="253"/>
      <c r="P15" s="253"/>
    </row>
    <row r="16" spans="1:16" x14ac:dyDescent="0.2">
      <c r="A16" s="521" t="s">
        <v>161</v>
      </c>
      <c r="B16" s="486">
        <v>42248</v>
      </c>
      <c r="C16" s="477"/>
      <c r="D16" s="477"/>
      <c r="E16" s="478"/>
      <c r="F16" s="478"/>
      <c r="G16" s="479"/>
      <c r="H16" s="479"/>
      <c r="I16" s="479"/>
      <c r="J16" s="480"/>
      <c r="K16" s="481"/>
      <c r="L16" s="482"/>
      <c r="M16" s="406"/>
      <c r="N16" s="406"/>
      <c r="O16" s="406"/>
      <c r="P16" s="406"/>
    </row>
    <row r="17" spans="1:16" x14ac:dyDescent="0.2">
      <c r="A17" s="522" t="s">
        <v>140</v>
      </c>
      <c r="B17" s="416">
        <v>42248</v>
      </c>
      <c r="C17" s="182"/>
      <c r="D17" s="182"/>
      <c r="E17" s="183"/>
      <c r="F17" s="183"/>
      <c r="G17" s="184"/>
      <c r="H17" s="184"/>
      <c r="I17" s="184"/>
      <c r="J17" s="30"/>
      <c r="K17" s="185"/>
      <c r="L17" s="88"/>
      <c r="M17" s="253"/>
      <c r="N17" s="253"/>
      <c r="O17" s="253"/>
      <c r="P17" s="253"/>
    </row>
    <row r="18" spans="1:16" x14ac:dyDescent="0.2">
      <c r="A18" s="485" t="s">
        <v>146</v>
      </c>
      <c r="B18" s="486">
        <v>42248</v>
      </c>
      <c r="C18" s="477"/>
      <c r="D18" s="477"/>
      <c r="E18" s="478"/>
      <c r="F18" s="478"/>
      <c r="G18" s="479"/>
      <c r="H18" s="479"/>
      <c r="I18" s="479"/>
      <c r="J18" s="480"/>
      <c r="K18" s="481"/>
      <c r="L18" s="482"/>
      <c r="M18" s="406"/>
      <c r="N18" s="406"/>
      <c r="O18" s="406"/>
      <c r="P18" s="406"/>
    </row>
    <row r="19" spans="1:16" x14ac:dyDescent="0.2">
      <c r="A19" s="415" t="s">
        <v>155</v>
      </c>
      <c r="B19" s="416">
        <v>42248</v>
      </c>
      <c r="C19" s="182"/>
      <c r="D19" s="182"/>
      <c r="E19" s="183"/>
      <c r="F19" s="183"/>
      <c r="G19" s="184"/>
      <c r="H19" s="184"/>
      <c r="I19" s="184"/>
      <c r="J19" s="30"/>
      <c r="K19" s="185"/>
      <c r="L19" s="88"/>
      <c r="M19" s="253"/>
      <c r="N19" s="253"/>
      <c r="O19" s="253"/>
      <c r="P19" s="253"/>
    </row>
    <row r="20" spans="1:16" x14ac:dyDescent="0.2">
      <c r="A20" s="485" t="s">
        <v>156</v>
      </c>
      <c r="B20" s="486">
        <v>42248</v>
      </c>
      <c r="C20" s="477"/>
      <c r="D20" s="477"/>
      <c r="E20" s="478"/>
      <c r="F20" s="478"/>
      <c r="G20" s="479"/>
      <c r="H20" s="479"/>
      <c r="I20" s="479"/>
      <c r="J20" s="480"/>
      <c r="K20" s="481"/>
      <c r="L20" s="482"/>
      <c r="M20" s="406"/>
      <c r="N20" s="406"/>
      <c r="O20" s="406"/>
      <c r="P20" s="406"/>
    </row>
    <row r="21" spans="1:16" x14ac:dyDescent="0.2">
      <c r="A21" s="415" t="s">
        <v>198</v>
      </c>
      <c r="B21" s="416">
        <v>42248</v>
      </c>
      <c r="C21" s="182"/>
      <c r="D21" s="182"/>
      <c r="E21" s="183"/>
      <c r="F21" s="183"/>
      <c r="G21" s="184"/>
      <c r="H21" s="184"/>
      <c r="I21" s="184"/>
      <c r="J21" s="30"/>
      <c r="K21" s="185"/>
      <c r="L21" s="88"/>
      <c r="M21" s="253"/>
      <c r="N21" s="253"/>
      <c r="O21" s="253"/>
      <c r="P21" s="253"/>
    </row>
    <row r="22" spans="1:16" s="47" customFormat="1" ht="6" customHeight="1" x14ac:dyDescent="0.2">
      <c r="A22" s="181"/>
      <c r="B22" s="87"/>
      <c r="C22" s="182"/>
      <c r="D22" s="182"/>
      <c r="E22" s="183"/>
      <c r="F22" s="183"/>
      <c r="G22" s="184"/>
      <c r="H22" s="184"/>
      <c r="I22" s="184"/>
      <c r="J22" s="30"/>
      <c r="K22" s="185"/>
      <c r="L22" s="88"/>
      <c r="M22" s="253"/>
      <c r="N22" s="253"/>
      <c r="O22" s="253"/>
      <c r="P22" s="253"/>
    </row>
    <row r="23" spans="1:16" s="47" customFormat="1" ht="16.5" customHeight="1" x14ac:dyDescent="0.2">
      <c r="A23" s="188" t="s">
        <v>268</v>
      </c>
      <c r="B23" s="189"/>
      <c r="C23" s="190"/>
      <c r="D23" s="191"/>
      <c r="E23" s="192"/>
      <c r="F23" s="191"/>
      <c r="G23" s="191"/>
      <c r="H23" s="193"/>
      <c r="I23" s="191"/>
      <c r="J23" s="191"/>
      <c r="K23" s="191"/>
      <c r="L23" s="191"/>
      <c r="M23" s="191"/>
      <c r="N23" s="191"/>
      <c r="O23" s="73"/>
      <c r="P23" s="73"/>
    </row>
    <row r="24" spans="1:16" s="47" customFormat="1" ht="12.75" customHeight="1" x14ac:dyDescent="0.2">
      <c r="A24" s="472" t="s">
        <v>131</v>
      </c>
      <c r="B24" s="473">
        <v>42011</v>
      </c>
      <c r="C24" s="474"/>
      <c r="D24" s="474"/>
      <c r="E24" s="474"/>
      <c r="F24" s="474"/>
      <c r="G24" s="474"/>
      <c r="H24" s="474"/>
      <c r="I24" s="474"/>
      <c r="J24" s="474"/>
      <c r="K24" s="474"/>
      <c r="L24" s="474"/>
      <c r="M24" s="406"/>
      <c r="N24" s="406"/>
      <c r="O24" s="406"/>
      <c r="P24" s="406"/>
    </row>
    <row r="25" spans="1:16" x14ac:dyDescent="0.2">
      <c r="A25" s="240" t="s">
        <v>145</v>
      </c>
      <c r="B25" s="413">
        <v>42117</v>
      </c>
      <c r="C25" s="187"/>
      <c r="D25" s="187"/>
      <c r="E25" s="187"/>
      <c r="F25" s="187"/>
      <c r="G25" s="187"/>
      <c r="H25" s="187"/>
      <c r="I25" s="187"/>
      <c r="J25" s="187"/>
      <c r="K25" s="187"/>
      <c r="L25" s="187"/>
      <c r="M25" s="253"/>
      <c r="N25" s="253"/>
      <c r="O25" s="253"/>
      <c r="P25" s="253"/>
    </row>
    <row r="26" spans="1:16" x14ac:dyDescent="0.2">
      <c r="A26" s="472" t="s">
        <v>143</v>
      </c>
      <c r="B26" s="473">
        <v>42140</v>
      </c>
      <c r="C26" s="474"/>
      <c r="D26" s="474"/>
      <c r="E26" s="474"/>
      <c r="F26" s="474"/>
      <c r="G26" s="474"/>
      <c r="H26" s="474"/>
      <c r="I26" s="474"/>
      <c r="J26" s="474"/>
      <c r="K26" s="474"/>
      <c r="L26" s="474"/>
      <c r="M26" s="406"/>
      <c r="N26" s="406"/>
      <c r="O26" s="406"/>
      <c r="P26" s="406"/>
    </row>
    <row r="27" spans="1:16" x14ac:dyDescent="0.2">
      <c r="A27" s="240" t="s">
        <v>109</v>
      </c>
      <c r="B27" s="413">
        <v>42162</v>
      </c>
      <c r="C27" s="187"/>
      <c r="D27" s="187"/>
      <c r="E27" s="187"/>
      <c r="F27" s="187"/>
      <c r="G27" s="187"/>
      <c r="H27" s="187"/>
      <c r="I27" s="187"/>
      <c r="J27" s="187"/>
      <c r="K27" s="187"/>
      <c r="L27" s="187"/>
      <c r="M27" s="253"/>
      <c r="N27" s="253"/>
      <c r="O27" s="253"/>
      <c r="P27" s="253"/>
    </row>
    <row r="28" spans="1:16" x14ac:dyDescent="0.2">
      <c r="A28" s="472" t="s">
        <v>153</v>
      </c>
      <c r="B28" s="473">
        <v>42217</v>
      </c>
      <c r="C28" s="474"/>
      <c r="D28" s="474"/>
      <c r="E28" s="474"/>
      <c r="F28" s="474"/>
      <c r="G28" s="474"/>
      <c r="H28" s="474"/>
      <c r="I28" s="474"/>
      <c r="J28" s="474"/>
      <c r="K28" s="474"/>
      <c r="L28" s="474"/>
      <c r="M28" s="406"/>
      <c r="N28" s="406"/>
      <c r="O28" s="406"/>
      <c r="P28" s="406"/>
    </row>
    <row r="29" spans="1:16" x14ac:dyDescent="0.2">
      <c r="A29" s="240" t="s">
        <v>110</v>
      </c>
      <c r="B29" s="413">
        <v>42248</v>
      </c>
      <c r="C29" s="187"/>
      <c r="D29" s="187"/>
      <c r="E29" s="187"/>
      <c r="F29" s="187"/>
      <c r="G29" s="187"/>
      <c r="H29" s="187"/>
      <c r="I29" s="187"/>
      <c r="J29" s="187"/>
      <c r="K29" s="187"/>
      <c r="L29" s="187"/>
      <c r="M29" s="253"/>
      <c r="N29" s="253"/>
      <c r="O29" s="253"/>
      <c r="P29" s="253"/>
    </row>
    <row r="30" spans="1:16" x14ac:dyDescent="0.2">
      <c r="A30" s="472" t="s">
        <v>149</v>
      </c>
      <c r="B30" s="473">
        <v>42248</v>
      </c>
      <c r="C30" s="474"/>
      <c r="D30" s="474"/>
      <c r="E30" s="474"/>
      <c r="F30" s="474"/>
      <c r="G30" s="474"/>
      <c r="H30" s="474"/>
      <c r="I30" s="474"/>
      <c r="J30" s="474"/>
      <c r="K30" s="474"/>
      <c r="L30" s="474"/>
      <c r="M30" s="406"/>
      <c r="N30" s="406"/>
      <c r="O30" s="406"/>
      <c r="P30" s="406"/>
    </row>
    <row r="31" spans="1:16" x14ac:dyDescent="0.2">
      <c r="A31" s="445" t="s">
        <v>152</v>
      </c>
      <c r="B31" s="446">
        <v>42278</v>
      </c>
      <c r="C31" s="187"/>
      <c r="D31" s="187"/>
      <c r="E31" s="187"/>
      <c r="F31" s="187"/>
      <c r="G31" s="187"/>
      <c r="H31" s="187"/>
      <c r="I31" s="187"/>
      <c r="J31" s="187"/>
      <c r="K31" s="187"/>
      <c r="L31" s="187"/>
      <c r="M31" s="253"/>
      <c r="N31" s="253"/>
      <c r="O31" s="253"/>
      <c r="P31" s="253"/>
    </row>
    <row r="32" spans="1:16" x14ac:dyDescent="0.2">
      <c r="A32" s="240"/>
      <c r="B32" s="413"/>
      <c r="C32" s="187"/>
      <c r="D32" s="187"/>
      <c r="E32" s="187"/>
      <c r="F32" s="187"/>
      <c r="G32" s="187"/>
      <c r="H32" s="187"/>
      <c r="I32" s="187"/>
      <c r="J32" s="187"/>
      <c r="K32" s="187"/>
      <c r="L32" s="187"/>
      <c r="M32" s="253"/>
      <c r="N32" s="253"/>
      <c r="O32" s="253"/>
      <c r="P32" s="253"/>
    </row>
    <row r="33" spans="1:16" x14ac:dyDescent="0.2">
      <c r="A33" s="187"/>
      <c r="B33" s="186"/>
      <c r="C33" s="187"/>
      <c r="D33" s="187"/>
      <c r="E33" s="187"/>
      <c r="F33" s="187"/>
      <c r="G33" s="187"/>
      <c r="H33" s="187"/>
      <c r="I33" s="187"/>
      <c r="J33" s="187"/>
      <c r="K33" s="187"/>
      <c r="L33" s="187"/>
      <c r="M33" s="253"/>
      <c r="N33" s="253"/>
      <c r="O33" s="253"/>
      <c r="P33" s="253"/>
    </row>
    <row r="34" spans="1:16" x14ac:dyDescent="0.2">
      <c r="A34" s="187" t="s">
        <v>71</v>
      </c>
      <c r="B34" s="187"/>
      <c r="C34" s="187"/>
      <c r="D34" s="187"/>
      <c r="E34" s="187"/>
      <c r="F34" s="187"/>
      <c r="G34" s="187"/>
      <c r="H34" s="187"/>
      <c r="I34" s="187"/>
      <c r="J34" s="187"/>
      <c r="K34" s="187"/>
      <c r="L34" s="187"/>
      <c r="M34" s="253"/>
      <c r="N34" s="253"/>
      <c r="O34" s="253"/>
      <c r="P34" s="253"/>
    </row>
    <row r="35" spans="1:16" x14ac:dyDescent="0.2">
      <c r="A35" s="543" t="s">
        <v>10</v>
      </c>
      <c r="B35" s="544"/>
      <c r="C35" s="544"/>
      <c r="D35" s="544"/>
      <c r="E35" s="544"/>
      <c r="F35" s="544"/>
      <c r="G35" s="544"/>
      <c r="H35" s="544"/>
      <c r="I35" s="544"/>
      <c r="J35" s="544"/>
      <c r="K35" s="544"/>
      <c r="L35" s="544"/>
      <c r="M35" s="544"/>
      <c r="N35" s="544"/>
      <c r="O35" s="544"/>
      <c r="P35" s="544"/>
    </row>
    <row r="36" spans="1:16" x14ac:dyDescent="0.2">
      <c r="A36" s="84"/>
      <c r="B36" s="84"/>
      <c r="C36" s="84"/>
      <c r="D36" s="84"/>
      <c r="E36" s="84"/>
      <c r="F36" s="84"/>
      <c r="G36" s="84"/>
      <c r="H36" s="84"/>
      <c r="I36" s="84"/>
      <c r="J36" s="84"/>
      <c r="K36" s="84"/>
      <c r="L36" s="84"/>
      <c r="M36" s="84"/>
      <c r="N36" s="84"/>
      <c r="O36" s="84"/>
      <c r="P36" s="84"/>
    </row>
    <row r="37" spans="1:16" x14ac:dyDescent="0.2">
      <c r="A37" s="84"/>
      <c r="B37" s="84"/>
      <c r="C37" s="84"/>
      <c r="D37" s="84"/>
      <c r="E37" s="84"/>
      <c r="F37" s="84"/>
      <c r="G37" s="84"/>
      <c r="H37" s="84"/>
      <c r="I37" s="84"/>
      <c r="J37" s="84"/>
      <c r="K37" s="84"/>
      <c r="L37" s="84"/>
      <c r="M37" s="84"/>
      <c r="N37" s="84"/>
      <c r="O37" s="84"/>
      <c r="P37" s="84"/>
    </row>
    <row r="38" spans="1:16" x14ac:dyDescent="0.2">
      <c r="A38" s="84"/>
      <c r="B38" s="84"/>
      <c r="C38" s="84"/>
      <c r="D38" s="84"/>
      <c r="E38" s="84"/>
      <c r="F38" s="84"/>
      <c r="G38" s="84"/>
      <c r="H38" s="84"/>
      <c r="I38" s="84"/>
      <c r="J38" s="84"/>
      <c r="K38" s="84"/>
      <c r="L38" s="84"/>
      <c r="M38" s="84"/>
      <c r="N38" s="84"/>
      <c r="O38" s="84"/>
      <c r="P38" s="84"/>
    </row>
    <row r="39" spans="1:16" x14ac:dyDescent="0.2">
      <c r="A39" s="84"/>
      <c r="B39" s="84"/>
      <c r="C39" s="84"/>
      <c r="D39" s="84"/>
      <c r="E39" s="84"/>
      <c r="F39" s="84"/>
      <c r="G39" s="84"/>
      <c r="H39" s="84"/>
      <c r="I39" s="84"/>
      <c r="J39" s="84"/>
      <c r="K39" s="84"/>
      <c r="L39" s="84"/>
      <c r="M39" s="84"/>
      <c r="N39" s="84"/>
      <c r="O39" s="84"/>
      <c r="P39" s="84"/>
    </row>
    <row r="40" spans="1:16" x14ac:dyDescent="0.2">
      <c r="A40" s="84"/>
      <c r="B40" s="84"/>
      <c r="C40" s="84"/>
      <c r="D40" s="84"/>
      <c r="E40" s="84"/>
      <c r="F40" s="84"/>
      <c r="G40" s="84"/>
      <c r="H40" s="84"/>
      <c r="I40" s="84"/>
      <c r="J40" s="84"/>
      <c r="K40" s="84"/>
      <c r="L40" s="84"/>
      <c r="M40" s="84"/>
      <c r="N40" s="84"/>
      <c r="O40" s="84"/>
      <c r="P40" s="84"/>
    </row>
    <row r="41" spans="1:16" x14ac:dyDescent="0.2">
      <c r="A41" s="84"/>
      <c r="B41" s="84"/>
      <c r="C41" s="84"/>
      <c r="D41" s="84"/>
      <c r="E41" s="84"/>
      <c r="F41" s="84"/>
      <c r="G41" s="84"/>
      <c r="H41" s="84"/>
      <c r="I41" s="84"/>
      <c r="J41" s="84"/>
      <c r="K41" s="84"/>
      <c r="L41" s="84"/>
      <c r="M41" s="84"/>
      <c r="N41" s="84"/>
      <c r="O41" s="84"/>
      <c r="P41" s="84"/>
    </row>
    <row r="42" spans="1:16" x14ac:dyDescent="0.2">
      <c r="A42" s="84"/>
      <c r="B42" s="84"/>
      <c r="C42" s="84"/>
      <c r="D42" s="84"/>
      <c r="E42" s="84"/>
      <c r="F42" s="84"/>
      <c r="G42" s="84"/>
      <c r="H42" s="84"/>
      <c r="I42" s="84"/>
      <c r="J42" s="84"/>
      <c r="K42" s="84"/>
      <c r="L42" s="84"/>
      <c r="M42" s="84"/>
      <c r="N42" s="84"/>
      <c r="O42" s="84"/>
      <c r="P42" s="84"/>
    </row>
    <row r="43" spans="1:16" x14ac:dyDescent="0.2">
      <c r="A43" s="84"/>
      <c r="B43" s="84"/>
      <c r="C43" s="84"/>
      <c r="D43" s="84"/>
      <c r="E43" s="84"/>
      <c r="F43" s="84"/>
      <c r="G43" s="84"/>
      <c r="H43" s="84"/>
      <c r="I43" s="84"/>
      <c r="J43" s="84"/>
      <c r="K43" s="84"/>
      <c r="L43" s="84"/>
      <c r="M43" s="84"/>
      <c r="N43" s="84"/>
      <c r="O43" s="84"/>
      <c r="P43" s="84"/>
    </row>
    <row r="44" spans="1:16" x14ac:dyDescent="0.2">
      <c r="A44" s="84"/>
      <c r="B44" s="84"/>
      <c r="C44" s="84"/>
      <c r="D44" s="84"/>
      <c r="E44" s="84"/>
      <c r="F44" s="84"/>
      <c r="G44" s="84"/>
      <c r="H44" s="84"/>
      <c r="I44" s="84"/>
      <c r="J44" s="84"/>
      <c r="K44" s="84"/>
      <c r="L44" s="84"/>
      <c r="M44" s="84"/>
      <c r="N44" s="84"/>
      <c r="O44" s="84"/>
      <c r="P44" s="84"/>
    </row>
    <row r="45" spans="1:16" x14ac:dyDescent="0.2">
      <c r="A45" s="84"/>
      <c r="B45" s="84"/>
      <c r="C45" s="84"/>
      <c r="D45" s="84"/>
      <c r="E45" s="84"/>
      <c r="F45" s="84"/>
      <c r="G45" s="84"/>
      <c r="H45" s="84"/>
      <c r="I45" s="84"/>
      <c r="J45" s="84"/>
      <c r="K45" s="84"/>
      <c r="L45" s="84"/>
      <c r="M45" s="84"/>
      <c r="N45" s="84"/>
      <c r="O45" s="84"/>
      <c r="P45" s="84"/>
    </row>
    <row r="46" spans="1:16" x14ac:dyDescent="0.2">
      <c r="A46" s="84"/>
      <c r="B46" s="84"/>
      <c r="C46" s="84"/>
      <c r="D46" s="47"/>
      <c r="E46" s="47"/>
      <c r="F46" s="47"/>
      <c r="G46" s="84"/>
      <c r="H46" s="84"/>
      <c r="I46" s="84"/>
      <c r="J46" s="84"/>
      <c r="K46" s="84"/>
      <c r="L46" s="84"/>
      <c r="M46" s="84"/>
      <c r="N46" s="84"/>
      <c r="O46" s="84"/>
      <c r="P46" s="84"/>
    </row>
    <row r="47" spans="1:16" x14ac:dyDescent="0.2">
      <c r="A47" s="84"/>
      <c r="B47" s="84"/>
      <c r="C47" s="84"/>
      <c r="D47" s="47"/>
      <c r="E47" s="47"/>
      <c r="F47" s="47"/>
      <c r="G47" s="84"/>
      <c r="H47" s="84"/>
      <c r="I47" s="84"/>
      <c r="J47" s="84"/>
      <c r="K47" s="84"/>
      <c r="L47" s="84"/>
      <c r="M47" s="84"/>
      <c r="N47" s="84"/>
      <c r="O47" s="84"/>
      <c r="P47" s="84"/>
    </row>
    <row r="48" spans="1:16" x14ac:dyDescent="0.2">
      <c r="A48" s="84"/>
      <c r="B48" s="84"/>
      <c r="C48" s="84"/>
      <c r="D48" s="47"/>
      <c r="E48" s="47"/>
      <c r="F48" s="47"/>
      <c r="G48" s="84"/>
      <c r="H48" s="84"/>
      <c r="I48" s="84"/>
      <c r="J48" s="84"/>
      <c r="K48" s="84"/>
      <c r="L48" s="84"/>
      <c r="M48" s="84"/>
      <c r="N48" s="84"/>
      <c r="O48" s="84"/>
      <c r="P48" s="84"/>
    </row>
    <row r="49" spans="1:16" x14ac:dyDescent="0.2">
      <c r="A49" s="84"/>
      <c r="B49" s="84"/>
      <c r="C49" s="84"/>
      <c r="D49" s="47"/>
      <c r="E49" s="47"/>
      <c r="F49" s="47"/>
      <c r="G49" s="84"/>
      <c r="H49" s="84"/>
      <c r="I49" s="84"/>
      <c r="J49" s="84"/>
      <c r="K49" s="84"/>
      <c r="L49" s="84"/>
      <c r="M49" s="84"/>
      <c r="N49" s="84"/>
      <c r="O49" s="84"/>
      <c r="P49" s="84"/>
    </row>
    <row r="50" spans="1:16" x14ac:dyDescent="0.2">
      <c r="A50" s="84"/>
      <c r="B50" s="84"/>
      <c r="C50" s="84"/>
      <c r="D50" s="47"/>
      <c r="E50" s="47"/>
      <c r="F50" s="47"/>
      <c r="G50" s="84"/>
      <c r="H50" s="84"/>
      <c r="I50" s="84"/>
      <c r="J50" s="84"/>
      <c r="K50" s="84"/>
      <c r="L50" s="84"/>
      <c r="M50" s="84"/>
      <c r="N50" s="84"/>
      <c r="O50" s="84"/>
      <c r="P50" s="84"/>
    </row>
    <row r="51" spans="1:16" x14ac:dyDescent="0.2">
      <c r="A51" s="84"/>
      <c r="B51" s="84"/>
      <c r="C51" s="84"/>
      <c r="D51" s="47"/>
      <c r="E51" s="47"/>
      <c r="F51" s="47"/>
      <c r="G51" s="84"/>
      <c r="H51" s="84"/>
      <c r="I51" s="84"/>
      <c r="J51" s="84"/>
      <c r="K51" s="84"/>
      <c r="L51" s="84"/>
      <c r="M51" s="84"/>
      <c r="N51" s="84"/>
      <c r="O51" s="84"/>
      <c r="P51" s="84"/>
    </row>
    <row r="52" spans="1:16" x14ac:dyDescent="0.2">
      <c r="A52" s="84"/>
      <c r="B52" s="84"/>
      <c r="C52" s="84"/>
      <c r="D52" s="47"/>
      <c r="E52" s="47"/>
      <c r="F52" s="47"/>
      <c r="G52" s="84"/>
      <c r="H52" s="84"/>
      <c r="I52" s="84"/>
      <c r="J52" s="84"/>
      <c r="K52" s="84"/>
      <c r="L52" s="84"/>
      <c r="M52" s="84"/>
      <c r="N52" s="84"/>
      <c r="O52" s="84"/>
      <c r="P52" s="84"/>
    </row>
    <row r="53" spans="1:16" x14ac:dyDescent="0.2">
      <c r="A53" s="84"/>
      <c r="B53" s="84"/>
      <c r="C53" s="84"/>
      <c r="D53" s="47"/>
      <c r="E53" s="47"/>
      <c r="F53" s="47"/>
      <c r="G53" s="84"/>
      <c r="H53" s="84"/>
      <c r="I53" s="84"/>
      <c r="J53" s="84"/>
      <c r="K53" s="84"/>
      <c r="L53" s="84"/>
      <c r="M53" s="84"/>
      <c r="N53" s="84"/>
      <c r="O53" s="84"/>
      <c r="P53" s="84"/>
    </row>
    <row r="54" spans="1:16" x14ac:dyDescent="0.2">
      <c r="A54" s="84"/>
      <c r="B54" s="84"/>
      <c r="C54" s="84"/>
      <c r="D54" s="47"/>
      <c r="E54" s="47"/>
      <c r="F54" s="47"/>
      <c r="G54" s="84"/>
      <c r="H54" s="84"/>
      <c r="I54" s="84"/>
      <c r="J54" s="84"/>
      <c r="K54" s="84"/>
      <c r="L54" s="84"/>
      <c r="M54" s="84"/>
      <c r="N54" s="84"/>
      <c r="O54" s="84"/>
      <c r="P54" s="84"/>
    </row>
    <row r="55" spans="1:16" x14ac:dyDescent="0.2">
      <c r="D55" s="46"/>
      <c r="E55" s="46"/>
      <c r="F55" s="46"/>
    </row>
    <row r="56" spans="1:16" x14ac:dyDescent="0.2">
      <c r="D56" s="46"/>
      <c r="E56" s="46"/>
      <c r="F56" s="46"/>
    </row>
    <row r="57" spans="1:16" x14ac:dyDescent="0.2">
      <c r="D57" s="46"/>
      <c r="E57" s="46"/>
      <c r="F57" s="46"/>
    </row>
    <row r="58" spans="1:16" x14ac:dyDescent="0.2">
      <c r="D58" s="46"/>
      <c r="E58" s="46"/>
      <c r="F58" s="46"/>
    </row>
    <row r="59" spans="1:16" x14ac:dyDescent="0.2">
      <c r="D59" s="46"/>
      <c r="E59" s="46"/>
      <c r="F59" s="46"/>
    </row>
    <row r="60" spans="1:16" x14ac:dyDescent="0.2">
      <c r="D60" s="46"/>
      <c r="E60" s="46"/>
      <c r="F60" s="46"/>
    </row>
    <row r="61" spans="1:16" x14ac:dyDescent="0.2">
      <c r="D61" s="46"/>
      <c r="E61" s="46"/>
      <c r="F61" s="46"/>
    </row>
    <row r="62" spans="1:16" x14ac:dyDescent="0.2">
      <c r="D62" s="46"/>
      <c r="E62" s="46"/>
      <c r="F62" s="46"/>
    </row>
    <row r="63" spans="1:16" x14ac:dyDescent="0.2">
      <c r="D63" s="46"/>
      <c r="E63" s="46"/>
      <c r="F63" s="46"/>
    </row>
    <row r="64" spans="1:16" x14ac:dyDescent="0.2">
      <c r="D64" s="46"/>
      <c r="E64" s="46"/>
      <c r="F64" s="46"/>
    </row>
    <row r="65" spans="4:10" x14ac:dyDescent="0.2">
      <c r="D65" s="46"/>
      <c r="E65" s="46"/>
      <c r="F65" s="46"/>
    </row>
    <row r="66" spans="4:10" x14ac:dyDescent="0.2">
      <c r="D66" s="46"/>
      <c r="E66" s="46"/>
      <c r="F66" s="46"/>
      <c r="J66" s="89"/>
    </row>
    <row r="67" spans="4:10" x14ac:dyDescent="0.2">
      <c r="D67" s="46"/>
      <c r="E67" s="46"/>
      <c r="F67" s="46"/>
    </row>
    <row r="68" spans="4:10" x14ac:dyDescent="0.2">
      <c r="D68" s="46"/>
      <c r="E68" s="46"/>
      <c r="F68" s="46"/>
    </row>
    <row r="69" spans="4:10" x14ac:dyDescent="0.2">
      <c r="D69" s="46"/>
      <c r="E69" s="46"/>
      <c r="F69" s="46"/>
    </row>
    <row r="70" spans="4:10" x14ac:dyDescent="0.2">
      <c r="D70" s="46"/>
      <c r="E70" s="46"/>
      <c r="F70" s="46"/>
    </row>
    <row r="71" spans="4:10" x14ac:dyDescent="0.2">
      <c r="D71" s="46"/>
      <c r="E71" s="46"/>
      <c r="F71" s="46"/>
    </row>
    <row r="72" spans="4:10" x14ac:dyDescent="0.2">
      <c r="D72" s="46"/>
      <c r="E72" s="46"/>
      <c r="F72" s="46"/>
      <c r="J72" s="89"/>
    </row>
    <row r="73" spans="4:10" x14ac:dyDescent="0.2">
      <c r="D73" s="46"/>
      <c r="E73" s="46"/>
      <c r="F73" s="46"/>
    </row>
    <row r="74" spans="4:10" x14ac:dyDescent="0.2">
      <c r="J74" s="46"/>
    </row>
    <row r="98" spans="4:14" x14ac:dyDescent="0.2">
      <c r="D98" s="46"/>
      <c r="E98" s="46"/>
      <c r="F98" s="46"/>
    </row>
    <row r="99" spans="4:14" x14ac:dyDescent="0.2">
      <c r="D99" s="46"/>
      <c r="E99" s="46"/>
      <c r="F99" s="46"/>
    </row>
    <row r="100" spans="4:14" x14ac:dyDescent="0.2">
      <c r="D100" s="46"/>
      <c r="E100" s="46"/>
      <c r="F100" s="46"/>
    </row>
    <row r="101" spans="4:14" x14ac:dyDescent="0.2">
      <c r="D101" s="46"/>
      <c r="E101" s="46"/>
      <c r="F101" s="46"/>
    </row>
    <row r="102" spans="4:14" x14ac:dyDescent="0.2">
      <c r="D102" s="46"/>
      <c r="E102" s="46"/>
      <c r="F102" s="46"/>
    </row>
    <row r="103" spans="4:14" x14ac:dyDescent="0.2">
      <c r="D103" s="46"/>
      <c r="E103" s="46"/>
      <c r="F103" s="46"/>
      <c r="N103" s="46"/>
    </row>
    <row r="104" spans="4:14" x14ac:dyDescent="0.2">
      <c r="D104" s="46"/>
      <c r="E104" s="46"/>
      <c r="F104" s="46"/>
    </row>
    <row r="105" spans="4:14" x14ac:dyDescent="0.2">
      <c r="D105" s="46"/>
      <c r="E105" s="46"/>
      <c r="F105" s="46"/>
    </row>
    <row r="106" spans="4:14" x14ac:dyDescent="0.2">
      <c r="D106" s="46"/>
      <c r="E106" s="46"/>
      <c r="F106" s="46"/>
    </row>
    <row r="107" spans="4:14" x14ac:dyDescent="0.2">
      <c r="D107" s="46"/>
      <c r="E107" s="46"/>
      <c r="F107" s="46"/>
    </row>
    <row r="108" spans="4:14" x14ac:dyDescent="0.2">
      <c r="D108" s="46"/>
      <c r="E108" s="46"/>
      <c r="F108" s="46"/>
    </row>
    <row r="109" spans="4:14" x14ac:dyDescent="0.2">
      <c r="D109" s="46"/>
      <c r="E109" s="46"/>
      <c r="F109" s="46"/>
    </row>
    <row r="110" spans="4:14" x14ac:dyDescent="0.2">
      <c r="D110" s="46"/>
      <c r="E110" s="46"/>
      <c r="F110" s="46"/>
    </row>
    <row r="111" spans="4:14" x14ac:dyDescent="0.2">
      <c r="D111" s="46"/>
      <c r="E111" s="46"/>
      <c r="F111" s="46"/>
    </row>
    <row r="112" spans="4:14" x14ac:dyDescent="0.2">
      <c r="D112" s="46"/>
      <c r="E112" s="46"/>
      <c r="F112" s="46"/>
    </row>
    <row r="113" spans="4:6" x14ac:dyDescent="0.2">
      <c r="D113" s="46"/>
      <c r="E113" s="46"/>
      <c r="F113" s="46"/>
    </row>
    <row r="114" spans="4:6" x14ac:dyDescent="0.2">
      <c r="D114" s="46"/>
      <c r="E114" s="46"/>
      <c r="F114" s="46"/>
    </row>
    <row r="115" spans="4:6" x14ac:dyDescent="0.2">
      <c r="D115" s="46"/>
      <c r="E115" s="46"/>
      <c r="F115" s="46"/>
    </row>
    <row r="116" spans="4:6" x14ac:dyDescent="0.2">
      <c r="D116" s="46"/>
      <c r="E116" s="46"/>
      <c r="F116" s="46"/>
    </row>
    <row r="117" spans="4:6" x14ac:dyDescent="0.2">
      <c r="D117" s="46"/>
      <c r="E117" s="46"/>
      <c r="F117" s="46"/>
    </row>
    <row r="118" spans="4:6" x14ac:dyDescent="0.2">
      <c r="D118" s="46"/>
      <c r="E118" s="46"/>
      <c r="F118" s="46"/>
    </row>
    <row r="119" spans="4:6" x14ac:dyDescent="0.2">
      <c r="D119" s="46"/>
      <c r="E119" s="46"/>
      <c r="F119" s="46"/>
    </row>
    <row r="120" spans="4:6" x14ac:dyDescent="0.2">
      <c r="D120" s="46"/>
      <c r="E120" s="46"/>
      <c r="F120" s="46"/>
    </row>
    <row r="121" spans="4:6" x14ac:dyDescent="0.2">
      <c r="D121" s="46"/>
      <c r="E121" s="46"/>
      <c r="F121" s="46"/>
    </row>
    <row r="122" spans="4:6" x14ac:dyDescent="0.2">
      <c r="D122" s="46"/>
      <c r="E122" s="46"/>
      <c r="F122" s="46"/>
    </row>
    <row r="123" spans="4:6" x14ac:dyDescent="0.2">
      <c r="D123" s="46"/>
      <c r="E123" s="46"/>
      <c r="F123" s="46"/>
    </row>
    <row r="124" spans="4:6" x14ac:dyDescent="0.2">
      <c r="D124" s="46"/>
      <c r="E124" s="46"/>
      <c r="F124" s="46"/>
    </row>
    <row r="125" spans="4:6" x14ac:dyDescent="0.2">
      <c r="D125" s="46"/>
      <c r="E125" s="46"/>
      <c r="F125" s="46"/>
    </row>
    <row r="126" spans="4:6" x14ac:dyDescent="0.2">
      <c r="D126" s="46"/>
      <c r="E126" s="46"/>
      <c r="F126" s="46"/>
    </row>
    <row r="127" spans="4:6" x14ac:dyDescent="0.2">
      <c r="D127" s="46"/>
      <c r="E127" s="46"/>
      <c r="F127" s="46"/>
    </row>
    <row r="128" spans="4:6" x14ac:dyDescent="0.2">
      <c r="D128" s="46"/>
      <c r="E128" s="46"/>
      <c r="F128" s="46"/>
    </row>
    <row r="129" spans="4:6" x14ac:dyDescent="0.2">
      <c r="D129" s="46"/>
      <c r="E129" s="46"/>
      <c r="F129" s="46"/>
    </row>
    <row r="130" spans="4:6" x14ac:dyDescent="0.2">
      <c r="D130" s="46"/>
      <c r="E130" s="46"/>
      <c r="F130" s="46"/>
    </row>
    <row r="131" spans="4:6" x14ac:dyDescent="0.2">
      <c r="D131" s="46"/>
      <c r="E131" s="46"/>
      <c r="F131" s="46"/>
    </row>
    <row r="132" spans="4:6" x14ac:dyDescent="0.2">
      <c r="D132" s="46"/>
      <c r="E132" s="46"/>
      <c r="F132" s="46"/>
    </row>
    <row r="133" spans="4:6" x14ac:dyDescent="0.2">
      <c r="D133" s="46"/>
      <c r="E133" s="46"/>
      <c r="F133" s="46"/>
    </row>
    <row r="134" spans="4:6" x14ac:dyDescent="0.2">
      <c r="D134" s="46"/>
      <c r="E134" s="46"/>
      <c r="F134" s="46"/>
    </row>
    <row r="135" spans="4:6" x14ac:dyDescent="0.2">
      <c r="D135" s="46"/>
      <c r="E135" s="46"/>
      <c r="F135" s="46"/>
    </row>
    <row r="136" spans="4:6" x14ac:dyDescent="0.2">
      <c r="D136" s="46"/>
      <c r="E136" s="46"/>
      <c r="F136" s="46"/>
    </row>
    <row r="137" spans="4:6" x14ac:dyDescent="0.2">
      <c r="D137" s="46"/>
      <c r="E137" s="46"/>
      <c r="F137" s="46"/>
    </row>
    <row r="138" spans="4:6" x14ac:dyDescent="0.2">
      <c r="D138" s="46"/>
      <c r="E138" s="46"/>
      <c r="F138" s="46"/>
    </row>
    <row r="139" spans="4:6" x14ac:dyDescent="0.2">
      <c r="D139" s="46"/>
      <c r="E139" s="46"/>
      <c r="F139" s="46"/>
    </row>
    <row r="140" spans="4:6" x14ac:dyDescent="0.2">
      <c r="D140" s="46"/>
      <c r="E140" s="46"/>
      <c r="F140" s="46"/>
    </row>
    <row r="141" spans="4:6" x14ac:dyDescent="0.2">
      <c r="D141" s="46"/>
      <c r="E141" s="46"/>
      <c r="F141" s="46"/>
    </row>
    <row r="142" spans="4:6" x14ac:dyDescent="0.2">
      <c r="D142" s="46"/>
      <c r="E142" s="46"/>
      <c r="F142" s="46"/>
    </row>
    <row r="143" spans="4:6" x14ac:dyDescent="0.2">
      <c r="D143" s="46"/>
      <c r="E143" s="46"/>
      <c r="F143" s="46"/>
    </row>
    <row r="144" spans="4:6" x14ac:dyDescent="0.2">
      <c r="D144" s="46"/>
      <c r="E144" s="46"/>
      <c r="F144" s="46"/>
    </row>
    <row r="145" spans="4:6" x14ac:dyDescent="0.2">
      <c r="D145" s="46"/>
      <c r="E145" s="46"/>
      <c r="F145" s="46"/>
    </row>
    <row r="146" spans="4:6" x14ac:dyDescent="0.2">
      <c r="D146" s="46"/>
      <c r="E146" s="46"/>
      <c r="F146" s="46"/>
    </row>
    <row r="147" spans="4:6" x14ac:dyDescent="0.2">
      <c r="D147" s="46"/>
      <c r="E147" s="46"/>
      <c r="F147" s="46"/>
    </row>
    <row r="148" spans="4:6" x14ac:dyDescent="0.2">
      <c r="D148" s="46"/>
      <c r="E148" s="46"/>
      <c r="F148" s="46"/>
    </row>
    <row r="149" spans="4:6" x14ac:dyDescent="0.2">
      <c r="D149" s="46"/>
      <c r="E149" s="46"/>
      <c r="F149" s="46"/>
    </row>
    <row r="150" spans="4:6" x14ac:dyDescent="0.2">
      <c r="D150" s="46"/>
      <c r="E150" s="46"/>
      <c r="F150" s="46"/>
    </row>
    <row r="151" spans="4:6" x14ac:dyDescent="0.2">
      <c r="D151" s="46"/>
      <c r="E151" s="46"/>
      <c r="F151" s="46"/>
    </row>
    <row r="152" spans="4:6" x14ac:dyDescent="0.2">
      <c r="D152" s="46"/>
      <c r="E152" s="46"/>
      <c r="F152" s="46"/>
    </row>
    <row r="153" spans="4:6" x14ac:dyDescent="0.2">
      <c r="D153" s="46"/>
      <c r="E153" s="46"/>
      <c r="F153" s="46"/>
    </row>
    <row r="154" spans="4:6" x14ac:dyDescent="0.2">
      <c r="D154" s="46"/>
      <c r="E154" s="46"/>
      <c r="F154" s="46"/>
    </row>
    <row r="178" spans="9:10" x14ac:dyDescent="0.2">
      <c r="J178" s="90">
        <v>41426</v>
      </c>
    </row>
    <row r="179" spans="9:10" x14ac:dyDescent="0.2">
      <c r="I179" s="90">
        <f>+J178</f>
        <v>41426</v>
      </c>
      <c r="J179" s="90">
        <v>41518</v>
      </c>
    </row>
  </sheetData>
  <mergeCells count="2">
    <mergeCell ref="A3:L3"/>
    <mergeCell ref="A35:P35"/>
  </mergeCells>
  <pageMargins left="0.75" right="0.75" top="1" bottom="1" header="0.5" footer="0.5"/>
  <pageSetup scale="52"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91" customWidth="1"/>
    <col min="2" max="3" width="2.28515625" style="91" customWidth="1"/>
    <col min="4" max="5" width="10.7109375" style="91" customWidth="1"/>
    <col min="6" max="6" width="8.7109375" style="91" customWidth="1"/>
    <col min="7" max="11" width="17.140625" style="91" customWidth="1"/>
    <col min="12" max="12" width="15.85546875" style="91" customWidth="1"/>
    <col min="13" max="16384" width="9.140625" style="91"/>
  </cols>
  <sheetData>
    <row r="1" spans="1:12" s="92" customFormat="1" ht="42.75" customHeight="1" x14ac:dyDescent="0.2">
      <c r="A1" s="91" t="s">
        <v>43</v>
      </c>
      <c r="B1" s="91"/>
      <c r="D1" s="93"/>
      <c r="E1" s="91"/>
      <c r="F1" s="91"/>
      <c r="G1" s="91"/>
      <c r="I1" s="94"/>
      <c r="J1" s="91"/>
      <c r="K1" s="91"/>
      <c r="L1" s="91"/>
    </row>
    <row r="2" spans="1:12" s="92" customFormat="1" ht="40.5" customHeight="1" x14ac:dyDescent="0.2">
      <c r="A2" s="91"/>
      <c r="B2" s="91"/>
      <c r="D2" s="93"/>
      <c r="E2" s="91"/>
      <c r="F2" s="91"/>
      <c r="G2" s="91"/>
      <c r="I2" s="94"/>
      <c r="J2" s="91"/>
      <c r="K2" s="91"/>
      <c r="L2" s="91"/>
    </row>
    <row r="3" spans="1:12" s="95" customFormat="1" ht="27.75" customHeight="1" x14ac:dyDescent="0.25">
      <c r="A3" s="545" t="s">
        <v>62</v>
      </c>
      <c r="B3" s="545"/>
      <c r="C3" s="545"/>
      <c r="D3" s="545"/>
      <c r="E3" s="545"/>
      <c r="F3" s="545"/>
      <c r="G3" s="545"/>
      <c r="H3" s="545"/>
      <c r="I3" s="545"/>
      <c r="J3" s="545"/>
      <c r="K3" s="545"/>
      <c r="L3" s="545"/>
    </row>
    <row r="4" spans="1:12" s="92" customFormat="1" x14ac:dyDescent="0.2">
      <c r="A4" s="91"/>
      <c r="B4" s="91"/>
      <c r="C4" s="96"/>
      <c r="D4" s="91"/>
      <c r="E4" s="91"/>
      <c r="F4" s="91"/>
      <c r="G4" s="91"/>
      <c r="H4" s="91"/>
      <c r="I4" s="91"/>
      <c r="J4" s="91"/>
      <c r="K4" s="91"/>
      <c r="L4" s="91"/>
    </row>
    <row r="5" spans="1:12" s="92" customFormat="1" x14ac:dyDescent="0.2">
      <c r="A5" s="97"/>
      <c r="B5" s="97"/>
      <c r="C5" s="97"/>
      <c r="D5" s="97"/>
      <c r="E5" s="97"/>
      <c r="F5" s="97"/>
      <c r="G5" s="97"/>
      <c r="H5" s="97"/>
      <c r="I5" s="97"/>
      <c r="J5" s="97"/>
      <c r="K5" s="97"/>
      <c r="L5" s="97"/>
    </row>
    <row r="6" spans="1:12" s="92" customFormat="1" x14ac:dyDescent="0.2">
      <c r="A6" s="91"/>
      <c r="B6" s="91"/>
      <c r="C6" s="91"/>
      <c r="D6" s="91"/>
      <c r="E6" s="91"/>
      <c r="F6" s="91"/>
      <c r="G6" s="91"/>
      <c r="H6" s="91"/>
      <c r="I6" s="91"/>
      <c r="J6" s="91"/>
      <c r="K6" s="91"/>
      <c r="L6" s="91"/>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vt:lpstr>
      <vt:lpstr>Cover!Print_Area</vt:lpstr>
      <vt:lpstr>'Disclaimers&amp;Definitions'!Print_Area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2015-10-26T20:04:58Z</cp:lastPrinted>
  <dcterms:created xsi:type="dcterms:W3CDTF">1999-09-27T19:46:10Z</dcterms:created>
  <dcterms:modified xsi:type="dcterms:W3CDTF">2015-10-26T20:19:32Z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