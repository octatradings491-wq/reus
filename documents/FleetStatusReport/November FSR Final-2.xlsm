
<file path=[Content_Types].xml><?xml version="1.0" encoding="utf-8"?>
<Types xmlns="http://schemas.openxmlformats.org/package/2006/content-types">
  <Default Extension="xml" ContentType="application/xml"/>
  <Default Extension="jpeg" ContentType="image/jpe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5" rupBuild="22416"/>
  <workbookPr codeName="ThisWorkbook" autoCompressPictures="0"/>
  <bookViews>
    <workbookView xWindow="1900" yWindow="2420" windowWidth="17760" windowHeight="18820" tabRatio="491" activeTab="1"/>
  </bookViews>
  <sheets>
    <sheet name="Cover" sheetId="8" r:id="rId1"/>
    <sheet name="Report" sheetId="1" r:id="rId2"/>
    <sheet name="Full Report" sheetId="12" state="hidden" r:id="rId3"/>
    <sheet name="Footnotes" sheetId="2" r:id="rId4"/>
    <sheet name="Stacked&amp;Idle" sheetId="10" state="hidden" r:id="rId5"/>
    <sheet name="Disclaimers&amp;Definitions " sheetId="9" r:id="rId6"/>
  </sheets>
  <externalReferences>
    <externalReference r:id="rId7"/>
  </externalReferences>
  <definedNames>
    <definedName name="_xlnm._FilterDatabase" localSheetId="2" hidden="1">'Full Report'!$A$8:$J$8</definedName>
    <definedName name="_xlnm._FilterDatabase" localSheetId="1" hidden="1">Report!$A$8:$J$8</definedName>
    <definedName name="_xlnm.Print_Area" localSheetId="0">Cover!$A$1:$X$17</definedName>
    <definedName name="_xlnm.Print_Area" localSheetId="5">'Disclaimers&amp;Definitions '!$A$1:$L$70</definedName>
    <definedName name="_xlnm.Print_Area" localSheetId="3">Footnotes!$B$1:$N$19</definedName>
    <definedName name="_xlnm.Print_Area" localSheetId="2">'Full Report'!$A$1:$V$174</definedName>
    <definedName name="_xlnm.Print_Area" localSheetId="1">Report!$A$1:$V$64</definedName>
    <definedName name="_xlnm.Print_Area" localSheetId="4">'Stacked&amp;Idle'!$A$1:$P$24</definedName>
    <definedName name="_xlnm.Print_Titles" localSheetId="3">Footnotes!$1:$6</definedName>
    <definedName name="_xlnm.Print_Titles" localSheetId="2">'Full Report'!$A:$A,'Full Report'!$1:$8</definedName>
    <definedName name="_xlnm.Print_Titles" localSheetId="1">Report!$A:$A,Report!$1:$8</definedName>
    <definedName name="Z_2B5E9AF3_7E15_4FFC_BC57_F18A8661CB86_.wvu.PrintArea" localSheetId="5" hidden="1">'Disclaimers&amp;Definitions '!$A$1:$L$6</definedName>
    <definedName name="Z_2B5E9AF3_7E15_4FFC_BC57_F18A8661CB86_.wvu.PrintArea" localSheetId="3" hidden="1">Footnotes!$C$1:$N$22</definedName>
    <definedName name="Z_2B5E9AF3_7E15_4FFC_BC57_F18A8661CB86_.wvu.PrintArea" localSheetId="2" hidden="1">'Full Report'!$A$1:$M$164</definedName>
    <definedName name="Z_2B5E9AF3_7E15_4FFC_BC57_F18A8661CB86_.wvu.PrintArea" localSheetId="1" hidden="1">Report!$A$1:$M$54</definedName>
    <definedName name="Z_2B5E9AF3_7E15_4FFC_BC57_F18A8661CB86_.wvu.PrintTitles" localSheetId="3" hidden="1">Footnotes!$1:$6</definedName>
    <definedName name="Z_2B5E9AF3_7E15_4FFC_BC57_F18A8661CB86_.wvu.PrintTitles" localSheetId="2" hidden="1">'Full Report'!$A:$A,'Full Report'!$1:$8</definedName>
    <definedName name="Z_2B5E9AF3_7E15_4FFC_BC57_F18A8661CB86_.wvu.PrintTitles" localSheetId="1" hidden="1">Report!$A:$A,Report!$1:$8</definedName>
    <definedName name="Z_6B3EFEE6_6D4B_487B_9131_15FDA5ABAE22_.wvu.PrintArea" localSheetId="5" hidden="1">'Disclaimers&amp;Definitions '!$A$1:$L$6</definedName>
    <definedName name="Z_6B3EFEE6_6D4B_487B_9131_15FDA5ABAE22_.wvu.PrintArea" localSheetId="3" hidden="1">Footnotes!$C$1:$N$22</definedName>
    <definedName name="Z_6B3EFEE6_6D4B_487B_9131_15FDA5ABAE22_.wvu.PrintArea" localSheetId="2" hidden="1">'Full Report'!$A$1:$M$164</definedName>
    <definedName name="Z_6B3EFEE6_6D4B_487B_9131_15FDA5ABAE22_.wvu.PrintArea" localSheetId="1" hidden="1">Report!$A$1:$M$54</definedName>
    <definedName name="Z_6B3EFEE6_6D4B_487B_9131_15FDA5ABAE22_.wvu.PrintTitles" localSheetId="3" hidden="1">Footnotes!$1:$6</definedName>
    <definedName name="Z_6B3EFEE6_6D4B_487B_9131_15FDA5ABAE22_.wvu.PrintTitles" localSheetId="2" hidden="1">'Full Report'!$A:$A,'Full Report'!$1:$8</definedName>
    <definedName name="Z_6B3EFEE6_6D4B_487B_9131_15FDA5ABAE22_.wvu.PrintTitles" localSheetId="1" hidden="1">Report!$A:$A,Report!$1:$8</definedName>
  </definedNames>
  <calcPr calcId="140001" concurrentCalc="0"/>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J48" i="1" l="1"/>
  <c r="M48" i="1"/>
  <c r="M21" i="1"/>
  <c r="J21" i="1"/>
  <c r="R20" i="12"/>
  <c r="AG20" i="12"/>
  <c r="S20" i="12"/>
  <c r="AH20" i="12"/>
  <c r="T20" i="12"/>
  <c r="AI20" i="12"/>
  <c r="U20" i="12"/>
  <c r="AJ20" i="12"/>
  <c r="V20" i="12"/>
  <c r="AK20" i="12"/>
  <c r="AG21" i="12"/>
  <c r="AH21" i="12"/>
  <c r="AI21" i="12"/>
  <c r="AJ21" i="12"/>
  <c r="AK21" i="12"/>
  <c r="R22" i="12"/>
  <c r="AG22" i="12"/>
  <c r="AH22" i="12"/>
  <c r="AI22" i="12"/>
  <c r="AJ22" i="12"/>
  <c r="AK22" i="12"/>
  <c r="S23" i="12"/>
  <c r="AH23" i="12"/>
  <c r="T23" i="12"/>
  <c r="U23" i="12"/>
  <c r="AJ23" i="12"/>
  <c r="V23" i="12"/>
  <c r="AK23" i="12"/>
  <c r="AG23" i="12"/>
  <c r="AI23" i="12"/>
  <c r="AG24" i="12"/>
  <c r="AH24" i="12"/>
  <c r="AI24" i="12"/>
  <c r="AJ24" i="12"/>
  <c r="AK24" i="12"/>
  <c r="AG25" i="12"/>
  <c r="AH25" i="12"/>
  <c r="AI25" i="12"/>
  <c r="AJ25" i="12"/>
  <c r="AK25" i="12"/>
  <c r="AG26" i="12"/>
  <c r="AH26" i="12"/>
  <c r="AI26" i="12"/>
  <c r="AJ26" i="12"/>
  <c r="AK26" i="12"/>
  <c r="R27" i="12"/>
  <c r="AG27" i="12"/>
  <c r="S27" i="12"/>
  <c r="AH27" i="12"/>
  <c r="T27" i="12"/>
  <c r="AI27" i="12"/>
  <c r="U27" i="12"/>
  <c r="AJ27" i="12"/>
  <c r="V27" i="12"/>
  <c r="AK27" i="12"/>
  <c r="S28" i="12"/>
  <c r="AH28" i="12"/>
  <c r="T28" i="12"/>
  <c r="AI28" i="12"/>
  <c r="U28" i="12"/>
  <c r="AJ28" i="12"/>
  <c r="V28" i="12"/>
  <c r="AK28" i="12"/>
  <c r="AG28" i="12"/>
  <c r="R29" i="12"/>
  <c r="AG29" i="12"/>
  <c r="AH29" i="12"/>
  <c r="AI29" i="12"/>
  <c r="AJ29" i="12"/>
  <c r="AK29" i="12"/>
  <c r="AG30" i="12"/>
  <c r="AH30" i="12"/>
  <c r="AI30" i="12"/>
  <c r="AJ30" i="12"/>
  <c r="AK30" i="12"/>
  <c r="S31" i="12"/>
  <c r="AH31" i="12"/>
  <c r="T31" i="12"/>
  <c r="U31" i="12"/>
  <c r="AJ31" i="12"/>
  <c r="V31" i="12"/>
  <c r="AK31" i="12"/>
  <c r="AG31" i="12"/>
  <c r="AI31" i="12"/>
  <c r="R35" i="12"/>
  <c r="AG35" i="12"/>
  <c r="S35" i="12"/>
  <c r="AH35" i="12"/>
  <c r="T35" i="12"/>
  <c r="AI35" i="12"/>
  <c r="U35" i="12"/>
  <c r="AJ35" i="12"/>
  <c r="V35" i="12"/>
  <c r="AK35" i="12"/>
  <c r="R36" i="12"/>
  <c r="AG36" i="12"/>
  <c r="AH36" i="12"/>
  <c r="AI36" i="12"/>
  <c r="AJ36" i="12"/>
  <c r="AK36" i="12"/>
  <c r="S37" i="12"/>
  <c r="AH37" i="12"/>
  <c r="T37" i="12"/>
  <c r="AI37" i="12"/>
  <c r="U37" i="12"/>
  <c r="AJ37" i="12"/>
  <c r="V37" i="12"/>
  <c r="AK37" i="12"/>
  <c r="AG37" i="12"/>
  <c r="R38" i="12"/>
  <c r="AG38" i="12"/>
  <c r="S38" i="12"/>
  <c r="T38" i="12"/>
  <c r="AI38" i="12"/>
  <c r="U38" i="12"/>
  <c r="AJ38" i="12"/>
  <c r="V38" i="12"/>
  <c r="AK38" i="12"/>
  <c r="AH38" i="12"/>
  <c r="S39" i="12"/>
  <c r="AH39" i="12"/>
  <c r="T39" i="12"/>
  <c r="AI39" i="12"/>
  <c r="U39" i="12"/>
  <c r="AJ39" i="12"/>
  <c r="V39" i="12"/>
  <c r="AK39" i="12"/>
  <c r="AG39" i="12"/>
  <c r="AG40" i="12"/>
  <c r="AH40" i="12"/>
  <c r="AI40" i="12"/>
  <c r="AJ40" i="12"/>
  <c r="AK40" i="12"/>
  <c r="R41" i="12"/>
  <c r="AG41" i="12"/>
  <c r="S41" i="12"/>
  <c r="AH41" i="12"/>
  <c r="T41" i="12"/>
  <c r="AI41" i="12"/>
  <c r="U41" i="12"/>
  <c r="AJ41" i="12"/>
  <c r="V41" i="12"/>
  <c r="AK41" i="12"/>
  <c r="J42" i="12"/>
  <c r="M42" i="12"/>
  <c r="AG42" i="12"/>
  <c r="AH42" i="12"/>
  <c r="AI42" i="12"/>
  <c r="AJ42" i="12"/>
  <c r="AK42" i="12"/>
  <c r="R43" i="12"/>
  <c r="AG43" i="12"/>
  <c r="AH43" i="12"/>
  <c r="AI43" i="12"/>
  <c r="AJ43" i="12"/>
  <c r="AK43" i="12"/>
  <c r="AG44" i="12"/>
  <c r="AH44" i="12"/>
  <c r="AI44" i="12"/>
  <c r="AJ44" i="12"/>
  <c r="AK44" i="12"/>
  <c r="R45" i="12"/>
  <c r="AG45" i="12"/>
  <c r="AH45" i="12"/>
  <c r="AI45" i="12"/>
  <c r="AJ45" i="12"/>
  <c r="AK45" i="12"/>
  <c r="S46" i="12"/>
  <c r="AH46" i="12"/>
  <c r="T46" i="12"/>
  <c r="AI46" i="12"/>
  <c r="U46" i="12"/>
  <c r="AJ46" i="12"/>
  <c r="V46" i="12"/>
  <c r="AK46" i="12"/>
  <c r="AG46" i="12"/>
  <c r="R47" i="12"/>
  <c r="AG47" i="12"/>
  <c r="S47" i="12"/>
  <c r="AH47" i="12"/>
  <c r="T47" i="12"/>
  <c r="AI47" i="12"/>
  <c r="U47" i="12"/>
  <c r="AJ47" i="12"/>
  <c r="V47" i="12"/>
  <c r="AK47" i="12"/>
  <c r="AG48" i="12"/>
  <c r="AH48" i="12"/>
  <c r="AI48" i="12"/>
  <c r="AJ48" i="12"/>
  <c r="AK48" i="12"/>
  <c r="R49" i="12"/>
  <c r="AG49" i="12"/>
  <c r="S49" i="12"/>
  <c r="T49" i="12"/>
  <c r="AI49" i="12"/>
  <c r="U49" i="12"/>
  <c r="AJ49" i="12"/>
  <c r="V49" i="12"/>
  <c r="AK49" i="12"/>
  <c r="AH49" i="12"/>
  <c r="S50" i="12"/>
  <c r="AH50" i="12"/>
  <c r="T50" i="12"/>
  <c r="U50" i="12"/>
  <c r="AJ50" i="12"/>
  <c r="V50" i="12"/>
  <c r="AK50" i="12"/>
  <c r="AG50" i="12"/>
  <c r="AI50" i="12"/>
  <c r="S51" i="12"/>
  <c r="AH51" i="12"/>
  <c r="T51" i="12"/>
  <c r="AI51" i="12"/>
  <c r="U51" i="12"/>
  <c r="AJ51" i="12"/>
  <c r="V51" i="12"/>
  <c r="AK51" i="12"/>
  <c r="AG51" i="12"/>
  <c r="R52" i="12"/>
  <c r="AG52" i="12"/>
  <c r="S52" i="12"/>
  <c r="T52" i="12"/>
  <c r="AI52" i="12"/>
  <c r="U52" i="12"/>
  <c r="AJ52" i="12"/>
  <c r="V52" i="12"/>
  <c r="AK52" i="12"/>
  <c r="AH52" i="12"/>
  <c r="S57" i="12"/>
  <c r="AH57" i="12"/>
  <c r="T57" i="12"/>
  <c r="AI57" i="12"/>
  <c r="U57" i="12"/>
  <c r="AJ57" i="12"/>
  <c r="V57" i="12"/>
  <c r="AK57" i="12"/>
  <c r="AG57" i="12"/>
  <c r="R58" i="12"/>
  <c r="AG58" i="12"/>
  <c r="S58" i="12"/>
  <c r="T58" i="12"/>
  <c r="AI58" i="12"/>
  <c r="U58" i="12"/>
  <c r="AJ58" i="12"/>
  <c r="V58" i="12"/>
  <c r="AK58" i="12"/>
  <c r="AH58" i="12"/>
  <c r="R62" i="12"/>
  <c r="AG62" i="12"/>
  <c r="S62" i="12"/>
  <c r="AH62" i="12"/>
  <c r="T62" i="12"/>
  <c r="AI62" i="12"/>
  <c r="U62" i="12"/>
  <c r="AJ62" i="12"/>
  <c r="V62" i="12"/>
  <c r="AK62" i="12"/>
  <c r="R63" i="12"/>
  <c r="AG63" i="12"/>
  <c r="AH63" i="12"/>
  <c r="AI63" i="12"/>
  <c r="AJ63" i="12"/>
  <c r="AK63" i="12"/>
  <c r="R69" i="12"/>
  <c r="AG69" i="12"/>
  <c r="AH69" i="12"/>
  <c r="AI69" i="12"/>
  <c r="AJ69" i="12"/>
  <c r="AK69" i="12"/>
  <c r="R70" i="12"/>
  <c r="AG70" i="12"/>
  <c r="S70" i="12"/>
  <c r="AH70" i="12"/>
  <c r="T70" i="12"/>
  <c r="AI70" i="12"/>
  <c r="U70" i="12"/>
  <c r="AJ70" i="12"/>
  <c r="V70" i="12"/>
  <c r="AK70" i="12"/>
  <c r="R71" i="12"/>
  <c r="AG71" i="12"/>
  <c r="S71" i="12"/>
  <c r="AH71" i="12"/>
  <c r="T71" i="12"/>
  <c r="AI71" i="12"/>
  <c r="U71" i="12"/>
  <c r="AJ71" i="12"/>
  <c r="V71" i="12"/>
  <c r="AK71" i="12"/>
  <c r="AG72" i="12"/>
  <c r="AH72" i="12"/>
  <c r="AI72" i="12"/>
  <c r="AJ72" i="12"/>
  <c r="AK72" i="12"/>
  <c r="S76" i="12"/>
  <c r="AH76" i="12"/>
  <c r="T76" i="12"/>
  <c r="AI76" i="12"/>
  <c r="U76" i="12"/>
  <c r="AJ76" i="12"/>
  <c r="V76" i="12"/>
  <c r="AK76" i="12"/>
  <c r="AG76" i="12"/>
  <c r="AG77" i="12"/>
  <c r="AH77" i="12"/>
  <c r="AI77" i="12"/>
  <c r="AJ77" i="12"/>
  <c r="AK77" i="12"/>
  <c r="AG78" i="12"/>
  <c r="AH78" i="12"/>
  <c r="AI78" i="12"/>
  <c r="AJ78" i="12"/>
  <c r="AK78" i="12"/>
  <c r="AG79" i="12"/>
  <c r="AH79" i="12"/>
  <c r="AI79" i="12"/>
  <c r="AJ79" i="12"/>
  <c r="AK79" i="12"/>
  <c r="R80" i="12"/>
  <c r="AG80" i="12"/>
  <c r="AH80" i="12"/>
  <c r="AI80" i="12"/>
  <c r="AJ80" i="12"/>
  <c r="AK80" i="12"/>
  <c r="AG81" i="12"/>
  <c r="AH81" i="12"/>
  <c r="AI81" i="12"/>
  <c r="AJ81" i="12"/>
  <c r="AK81" i="12"/>
  <c r="R82" i="12"/>
  <c r="AG82" i="12"/>
  <c r="AH82" i="12"/>
  <c r="AI82" i="12"/>
  <c r="AJ82" i="12"/>
  <c r="AK82" i="12"/>
  <c r="AG83" i="12"/>
  <c r="AH83" i="12"/>
  <c r="AI83" i="12"/>
  <c r="AJ83" i="12"/>
  <c r="AK83" i="12"/>
  <c r="J84" i="12"/>
  <c r="AG84" i="12"/>
  <c r="AH84" i="12"/>
  <c r="AI84" i="12"/>
  <c r="AJ84" i="12"/>
  <c r="AK84" i="12"/>
  <c r="S85" i="12"/>
  <c r="AH85" i="12"/>
  <c r="T85" i="12"/>
  <c r="AI85" i="12"/>
  <c r="U85" i="12"/>
  <c r="AJ85" i="12"/>
  <c r="V85" i="12"/>
  <c r="AK85" i="12"/>
  <c r="AG85" i="12"/>
  <c r="J86" i="12"/>
  <c r="AG86" i="12"/>
  <c r="AH86" i="12"/>
  <c r="AI86" i="12"/>
  <c r="AJ86" i="12"/>
  <c r="AK86" i="12"/>
  <c r="AG98" i="12"/>
  <c r="AH98" i="12"/>
  <c r="AI98" i="12"/>
  <c r="AJ98" i="12"/>
  <c r="AK98" i="12"/>
  <c r="R99" i="12"/>
  <c r="AG99" i="12"/>
  <c r="S99" i="12"/>
  <c r="T99" i="12"/>
  <c r="AI99" i="12"/>
  <c r="U99" i="12"/>
  <c r="AJ99" i="12"/>
  <c r="V99" i="12"/>
  <c r="AK99" i="12"/>
  <c r="AH99" i="12"/>
  <c r="AG100" i="12"/>
  <c r="AH100" i="12"/>
  <c r="AI100" i="12"/>
  <c r="AJ100" i="12"/>
  <c r="AK100" i="12"/>
  <c r="R101" i="12"/>
  <c r="AG101" i="12"/>
  <c r="S101" i="12"/>
  <c r="AH101" i="12"/>
  <c r="T101" i="12"/>
  <c r="AI101" i="12"/>
  <c r="U101" i="12"/>
  <c r="AJ101" i="12"/>
  <c r="V101" i="12"/>
  <c r="AK101" i="12"/>
  <c r="AK164" i="12"/>
  <c r="AJ164" i="12"/>
  <c r="AI164" i="12"/>
  <c r="AH164" i="12"/>
  <c r="AG164" i="12"/>
  <c r="AK163" i="12"/>
  <c r="AJ163" i="12"/>
  <c r="AI163" i="12"/>
  <c r="AH163" i="12"/>
  <c r="AG163" i="12"/>
  <c r="AK162" i="12"/>
  <c r="AJ162" i="12"/>
  <c r="AI162" i="12"/>
  <c r="AH162" i="12"/>
  <c r="AG162" i="12"/>
  <c r="AK161" i="12"/>
  <c r="AJ161" i="12"/>
  <c r="AI161" i="12"/>
  <c r="AH161" i="12"/>
  <c r="AG161" i="12"/>
  <c r="V160" i="12"/>
  <c r="AK160" i="12"/>
  <c r="U160" i="12"/>
  <c r="AJ160" i="12"/>
  <c r="T160" i="12"/>
  <c r="AI160" i="12"/>
  <c r="S160" i="12"/>
  <c r="AH160" i="12"/>
  <c r="R160" i="12"/>
  <c r="AG160" i="12"/>
  <c r="AK159" i="12"/>
  <c r="AJ159" i="12"/>
  <c r="AI159" i="12"/>
  <c r="AH159" i="12"/>
  <c r="AG159" i="12"/>
  <c r="M159" i="12"/>
  <c r="J159" i="12"/>
  <c r="AK158" i="12"/>
  <c r="AJ158" i="12"/>
  <c r="AI158" i="12"/>
  <c r="AH158" i="12"/>
  <c r="AG158" i="12"/>
  <c r="M158" i="12"/>
  <c r="J158" i="12"/>
  <c r="AK157" i="12"/>
  <c r="AJ157" i="12"/>
  <c r="AI157" i="12"/>
  <c r="AH157" i="12"/>
  <c r="R157" i="12"/>
  <c r="AG157" i="12"/>
  <c r="AG156" i="12"/>
  <c r="V156" i="12"/>
  <c r="AK156" i="12"/>
  <c r="U156" i="12"/>
  <c r="AJ156" i="12"/>
  <c r="T156" i="12"/>
  <c r="AI156" i="12"/>
  <c r="S156" i="12"/>
  <c r="AH156" i="12"/>
  <c r="AG155" i="12"/>
  <c r="V155" i="12"/>
  <c r="AK155" i="12"/>
  <c r="U155" i="12"/>
  <c r="AJ155" i="12"/>
  <c r="T155" i="12"/>
  <c r="AI155" i="12"/>
  <c r="S155" i="12"/>
  <c r="AH155" i="12"/>
  <c r="AG154" i="12"/>
  <c r="V154" i="12"/>
  <c r="AK154" i="12"/>
  <c r="U154" i="12"/>
  <c r="AJ154" i="12"/>
  <c r="T154" i="12"/>
  <c r="AI154" i="12"/>
  <c r="S154" i="12"/>
  <c r="AH154" i="12"/>
  <c r="AK153" i="12"/>
  <c r="AJ153" i="12"/>
  <c r="AI153" i="12"/>
  <c r="AH153" i="12"/>
  <c r="AG153" i="12"/>
  <c r="J153" i="12"/>
  <c r="AK152" i="12"/>
  <c r="AJ152" i="12"/>
  <c r="AI152" i="12"/>
  <c r="AH152" i="12"/>
  <c r="AG152" i="12"/>
  <c r="AK151" i="12"/>
  <c r="AJ151" i="12"/>
  <c r="AI151" i="12"/>
  <c r="AH151" i="12"/>
  <c r="R151" i="12"/>
  <c r="AG151" i="12"/>
  <c r="AK150" i="12"/>
  <c r="AJ150" i="12"/>
  <c r="AI150" i="12"/>
  <c r="AH150" i="12"/>
  <c r="AG150" i="12"/>
  <c r="M150" i="12"/>
  <c r="AK149" i="12"/>
  <c r="AJ149" i="12"/>
  <c r="AI149" i="12"/>
  <c r="AH149" i="12"/>
  <c r="AG149" i="12"/>
  <c r="M149" i="12"/>
  <c r="AK148" i="12"/>
  <c r="AJ148" i="12"/>
  <c r="AI148" i="12"/>
  <c r="AH148" i="12"/>
  <c r="AG148" i="12"/>
  <c r="M148" i="12"/>
  <c r="AK147" i="12"/>
  <c r="AJ147" i="12"/>
  <c r="AI147" i="12"/>
  <c r="AH147" i="12"/>
  <c r="AG147" i="12"/>
  <c r="M147" i="12"/>
  <c r="AK146" i="12"/>
  <c r="AJ146" i="12"/>
  <c r="AI146" i="12"/>
  <c r="AH146" i="12"/>
  <c r="AG146" i="12"/>
  <c r="M146" i="12"/>
  <c r="AK145" i="12"/>
  <c r="AJ145" i="12"/>
  <c r="AI145" i="12"/>
  <c r="AH145" i="12"/>
  <c r="R145" i="12"/>
  <c r="AG145" i="12"/>
  <c r="V144" i="12"/>
  <c r="AK144" i="12"/>
  <c r="U144" i="12"/>
  <c r="AJ144" i="12"/>
  <c r="T144" i="12"/>
  <c r="AI144" i="12"/>
  <c r="S144" i="12"/>
  <c r="AH144" i="12"/>
  <c r="R144" i="12"/>
  <c r="AG144" i="12"/>
  <c r="V143" i="12"/>
  <c r="AK143" i="12"/>
  <c r="U143" i="12"/>
  <c r="AJ143" i="12"/>
  <c r="T143" i="12"/>
  <c r="AI143" i="12"/>
  <c r="S143" i="12"/>
  <c r="AH143" i="12"/>
  <c r="R143" i="12"/>
  <c r="AG143" i="12"/>
  <c r="AK142" i="12"/>
  <c r="AJ142" i="12"/>
  <c r="AI142" i="12"/>
  <c r="AH142" i="12"/>
  <c r="AG142" i="12"/>
  <c r="AK141" i="12"/>
  <c r="AJ141" i="12"/>
  <c r="AI141" i="12"/>
  <c r="AH141" i="12"/>
  <c r="AG141" i="12"/>
  <c r="AK140" i="12"/>
  <c r="AJ140" i="12"/>
  <c r="AI140" i="12"/>
  <c r="AH140" i="12"/>
  <c r="AG140" i="12"/>
  <c r="V139" i="12"/>
  <c r="AK139" i="12"/>
  <c r="U139" i="12"/>
  <c r="AJ139" i="12"/>
  <c r="T139" i="12"/>
  <c r="AI139" i="12"/>
  <c r="S139" i="12"/>
  <c r="AH139" i="12"/>
  <c r="R139" i="12"/>
  <c r="AG139" i="12"/>
  <c r="AK138" i="12"/>
  <c r="AJ138" i="12"/>
  <c r="AI138" i="12"/>
  <c r="AH138" i="12"/>
  <c r="AG138" i="12"/>
  <c r="AK137" i="12"/>
  <c r="AJ137" i="12"/>
  <c r="AI137" i="12"/>
  <c r="AH137" i="12"/>
  <c r="AG137" i="12"/>
  <c r="M137" i="12"/>
  <c r="AK136" i="12"/>
  <c r="AJ136" i="12"/>
  <c r="AI136" i="12"/>
  <c r="AH136" i="12"/>
  <c r="AG136" i="12"/>
  <c r="M136" i="12"/>
  <c r="J136" i="12"/>
  <c r="AK135" i="12"/>
  <c r="AJ135" i="12"/>
  <c r="AI135" i="12"/>
  <c r="AH135" i="12"/>
  <c r="AG135" i="12"/>
  <c r="AK134" i="12"/>
  <c r="AJ134" i="12"/>
  <c r="AI134" i="12"/>
  <c r="AH134" i="12"/>
  <c r="AG134" i="12"/>
  <c r="AK133" i="12"/>
  <c r="AJ133" i="12"/>
  <c r="AI133" i="12"/>
  <c r="AH133" i="12"/>
  <c r="R133" i="12"/>
  <c r="AG133" i="12"/>
  <c r="AK132" i="12"/>
  <c r="AJ132" i="12"/>
  <c r="AI132" i="12"/>
  <c r="AH132" i="12"/>
  <c r="AG132" i="12"/>
  <c r="M132" i="12"/>
  <c r="J132" i="12"/>
  <c r="AK131" i="12"/>
  <c r="AJ131" i="12"/>
  <c r="AI131" i="12"/>
  <c r="AH131" i="12"/>
  <c r="AG131" i="12"/>
  <c r="AG130" i="12"/>
  <c r="V130" i="12"/>
  <c r="AK130" i="12"/>
  <c r="U130" i="12"/>
  <c r="AJ130" i="12"/>
  <c r="T130" i="12"/>
  <c r="AI130" i="12"/>
  <c r="S130" i="12"/>
  <c r="AH130" i="12"/>
  <c r="AK129" i="12"/>
  <c r="AJ129" i="12"/>
  <c r="AI129" i="12"/>
  <c r="AH129" i="12"/>
  <c r="AG129" i="12"/>
  <c r="AG128" i="12"/>
  <c r="V128" i="12"/>
  <c r="AK128" i="12"/>
  <c r="U128" i="12"/>
  <c r="AJ128" i="12"/>
  <c r="T128" i="12"/>
  <c r="AI128" i="12"/>
  <c r="S128" i="12"/>
  <c r="AH128" i="12"/>
  <c r="V127" i="12"/>
  <c r="AK127" i="12"/>
  <c r="U127" i="12"/>
  <c r="AJ127" i="12"/>
  <c r="T127" i="12"/>
  <c r="AI127" i="12"/>
  <c r="S127" i="12"/>
  <c r="AH127" i="12"/>
  <c r="R127" i="12"/>
  <c r="AG127" i="12"/>
  <c r="AK126" i="12"/>
  <c r="AJ126" i="12"/>
  <c r="AI126" i="12"/>
  <c r="AH126" i="12"/>
  <c r="AG126" i="12"/>
  <c r="M126" i="12"/>
  <c r="J126" i="12"/>
  <c r="AK125" i="12"/>
  <c r="AJ125" i="12"/>
  <c r="AI125" i="12"/>
  <c r="AH125" i="12"/>
  <c r="AG125" i="12"/>
  <c r="M125" i="12"/>
  <c r="V124" i="12"/>
  <c r="AK124" i="12"/>
  <c r="U124" i="12"/>
  <c r="AJ124" i="12"/>
  <c r="T124" i="12"/>
  <c r="AI124" i="12"/>
  <c r="S124" i="12"/>
  <c r="AH124" i="12"/>
  <c r="R124" i="12"/>
  <c r="AG124" i="12"/>
  <c r="AK123" i="12"/>
  <c r="AJ123" i="12"/>
  <c r="AI123" i="12"/>
  <c r="AH123" i="12"/>
  <c r="AG123" i="12"/>
  <c r="M123" i="12"/>
  <c r="J123" i="12"/>
  <c r="AK122" i="12"/>
  <c r="AJ122" i="12"/>
  <c r="AI122" i="12"/>
  <c r="AH122" i="12"/>
  <c r="AG122" i="12"/>
  <c r="M122" i="12"/>
  <c r="J122" i="12"/>
  <c r="AK121" i="12"/>
  <c r="AJ121" i="12"/>
  <c r="AI121" i="12"/>
  <c r="AH121" i="12"/>
  <c r="AG121" i="12"/>
  <c r="M121" i="12"/>
  <c r="J121" i="12"/>
  <c r="AK120" i="12"/>
  <c r="AJ120" i="12"/>
  <c r="AI120" i="12"/>
  <c r="AH120" i="12"/>
  <c r="AG120" i="12"/>
  <c r="M120" i="12"/>
  <c r="J120" i="12"/>
  <c r="AK119" i="12"/>
  <c r="AJ119" i="12"/>
  <c r="AI119" i="12"/>
  <c r="AH119" i="12"/>
  <c r="AG119" i="12"/>
  <c r="M119" i="12"/>
  <c r="J119" i="12"/>
  <c r="AK118" i="12"/>
  <c r="AJ118" i="12"/>
  <c r="AI118" i="12"/>
  <c r="AH118" i="12"/>
  <c r="R118" i="12"/>
  <c r="AG118" i="12"/>
  <c r="AK117" i="12"/>
  <c r="AJ117" i="12"/>
  <c r="AI117" i="12"/>
  <c r="AH117" i="12"/>
  <c r="AG117" i="12"/>
  <c r="M117" i="12"/>
  <c r="J117" i="12"/>
  <c r="AK116" i="12"/>
  <c r="AJ116" i="12"/>
  <c r="AI116" i="12"/>
  <c r="AH116" i="12"/>
  <c r="AG116" i="12"/>
  <c r="M116" i="12"/>
  <c r="J116" i="12"/>
  <c r="AK115" i="12"/>
  <c r="AJ115" i="12"/>
  <c r="AI115" i="12"/>
  <c r="AH115" i="12"/>
  <c r="AG115" i="12"/>
  <c r="M115" i="12"/>
  <c r="J115" i="12"/>
  <c r="AK114" i="12"/>
  <c r="AJ114" i="12"/>
  <c r="AI114" i="12"/>
  <c r="AH114" i="12"/>
  <c r="AG114" i="12"/>
  <c r="M114" i="12"/>
  <c r="J114" i="12"/>
  <c r="AG113" i="12"/>
  <c r="V113" i="12"/>
  <c r="AK113" i="12"/>
  <c r="U113" i="12"/>
  <c r="AJ113" i="12"/>
  <c r="T113" i="12"/>
  <c r="AI113" i="12"/>
  <c r="S113" i="12"/>
  <c r="AH113" i="12"/>
  <c r="AK112" i="12"/>
  <c r="AJ112" i="12"/>
  <c r="AI112" i="12"/>
  <c r="AH112" i="12"/>
  <c r="AG112" i="12"/>
  <c r="V111" i="12"/>
  <c r="AK111" i="12"/>
  <c r="U111" i="12"/>
  <c r="AJ111" i="12"/>
  <c r="T111" i="12"/>
  <c r="AI111" i="12"/>
  <c r="S111" i="12"/>
  <c r="AH111" i="12"/>
  <c r="R111" i="12"/>
  <c r="AG111" i="12"/>
  <c r="AK110" i="12"/>
  <c r="AJ110" i="12"/>
  <c r="AI110" i="12"/>
  <c r="AH110" i="12"/>
  <c r="AG110" i="12"/>
  <c r="M110" i="12"/>
  <c r="J110" i="12"/>
  <c r="AK109" i="12"/>
  <c r="AJ109" i="12"/>
  <c r="AI109" i="12"/>
  <c r="AH109" i="12"/>
  <c r="AG109" i="12"/>
  <c r="M109" i="12"/>
  <c r="J109" i="12"/>
  <c r="AK108" i="12"/>
  <c r="AJ108" i="12"/>
  <c r="AI108" i="12"/>
  <c r="AH108" i="12"/>
  <c r="AG108" i="12"/>
  <c r="M108" i="12"/>
  <c r="J108" i="12"/>
  <c r="V107" i="12"/>
  <c r="AK107" i="12"/>
  <c r="U107" i="12"/>
  <c r="AJ107" i="12"/>
  <c r="T107" i="12"/>
  <c r="AI107" i="12"/>
  <c r="S107" i="12"/>
  <c r="AH107" i="12"/>
  <c r="R107" i="12"/>
  <c r="AG107" i="12"/>
  <c r="AK106" i="12"/>
  <c r="AJ106" i="12"/>
  <c r="AI106" i="12"/>
  <c r="AH106" i="12"/>
  <c r="AG106" i="12"/>
  <c r="V105" i="12"/>
  <c r="AK105" i="12"/>
  <c r="U105" i="12"/>
  <c r="AJ105" i="12"/>
  <c r="T105" i="12"/>
  <c r="AI105" i="12"/>
  <c r="S105" i="12"/>
  <c r="AH105" i="12"/>
  <c r="R105" i="12"/>
  <c r="AG105" i="12"/>
  <c r="AK104" i="12"/>
  <c r="AJ104" i="12"/>
  <c r="AI104" i="12"/>
  <c r="AH104" i="12"/>
  <c r="R104" i="12"/>
  <c r="AG104" i="12"/>
  <c r="V103" i="12"/>
  <c r="AK103" i="12"/>
  <c r="U103" i="12"/>
  <c r="AJ103" i="12"/>
  <c r="T103" i="12"/>
  <c r="AI103" i="12"/>
  <c r="S103" i="12"/>
  <c r="AH103" i="12"/>
  <c r="R103" i="12"/>
  <c r="AG103" i="12"/>
  <c r="V102" i="12"/>
  <c r="AK102" i="12"/>
  <c r="U102" i="12"/>
  <c r="AJ102" i="12"/>
  <c r="T102" i="12"/>
  <c r="AI102" i="12"/>
  <c r="S102" i="12"/>
  <c r="AH102" i="12"/>
  <c r="R102" i="12"/>
  <c r="AG102" i="12"/>
  <c r="AK97" i="12"/>
  <c r="AJ97" i="12"/>
  <c r="AI97" i="12"/>
  <c r="AH97" i="12"/>
  <c r="AG97" i="12"/>
  <c r="AK96" i="12"/>
  <c r="AJ96" i="12"/>
  <c r="AI96" i="12"/>
  <c r="AH96" i="12"/>
  <c r="AG96" i="12"/>
  <c r="AK95" i="12"/>
  <c r="AJ95" i="12"/>
  <c r="AI95" i="12"/>
  <c r="AH95" i="12"/>
  <c r="AG95" i="12"/>
  <c r="AK94" i="12"/>
  <c r="AJ94" i="12"/>
  <c r="AI94" i="12"/>
  <c r="AH94" i="12"/>
  <c r="AG94" i="12"/>
  <c r="AK93" i="12"/>
  <c r="AJ93" i="12"/>
  <c r="AI93" i="12"/>
  <c r="AH93" i="12"/>
  <c r="AG93" i="12"/>
  <c r="M93" i="12"/>
  <c r="J93" i="12"/>
  <c r="AK92" i="12"/>
  <c r="AJ92" i="12"/>
  <c r="AI92" i="12"/>
  <c r="AH92" i="12"/>
  <c r="AG92" i="12"/>
  <c r="M92" i="12"/>
  <c r="J92" i="12"/>
  <c r="AK91" i="12"/>
  <c r="AJ91" i="12"/>
  <c r="AI91" i="12"/>
  <c r="AH91" i="12"/>
  <c r="AG91" i="12"/>
  <c r="M91" i="12"/>
  <c r="J91" i="12"/>
  <c r="AK90" i="12"/>
  <c r="AJ90" i="12"/>
  <c r="AI90" i="12"/>
  <c r="AH90" i="12"/>
  <c r="AG90" i="12"/>
  <c r="M90" i="12"/>
  <c r="J90" i="12"/>
  <c r="AK89" i="12"/>
  <c r="AJ89" i="12"/>
  <c r="AI89" i="12"/>
  <c r="AH89" i="12"/>
  <c r="AG89" i="12"/>
  <c r="M89" i="12"/>
  <c r="J89" i="12"/>
  <c r="AK88" i="12"/>
  <c r="AJ88" i="12"/>
  <c r="AI88" i="12"/>
  <c r="AH88" i="12"/>
  <c r="AG88" i="12"/>
  <c r="AG87" i="12"/>
  <c r="V87" i="12"/>
  <c r="AK87" i="12"/>
  <c r="U87" i="12"/>
  <c r="AJ87" i="12"/>
  <c r="T87" i="12"/>
  <c r="AI87" i="12"/>
  <c r="S87" i="12"/>
  <c r="AH87" i="12"/>
  <c r="AK75" i="12"/>
  <c r="AJ75" i="12"/>
  <c r="AI75" i="12"/>
  <c r="AH75" i="12"/>
  <c r="AG75" i="12"/>
  <c r="AK74" i="12"/>
  <c r="AJ74" i="12"/>
  <c r="AI74" i="12"/>
  <c r="AH74" i="12"/>
  <c r="AG74" i="12"/>
  <c r="AK73" i="12"/>
  <c r="AJ73" i="12"/>
  <c r="AI73" i="12"/>
  <c r="AH73" i="12"/>
  <c r="AG73" i="12"/>
  <c r="AK68" i="12"/>
  <c r="AJ68" i="12"/>
  <c r="AI68" i="12"/>
  <c r="AH68" i="12"/>
  <c r="AG68" i="12"/>
  <c r="V67" i="12"/>
  <c r="AK67" i="12"/>
  <c r="U67" i="12"/>
  <c r="AJ67" i="12"/>
  <c r="T67" i="12"/>
  <c r="AI67" i="12"/>
  <c r="S67" i="12"/>
  <c r="AH67" i="12"/>
  <c r="R67" i="12"/>
  <c r="AG67" i="12"/>
  <c r="AK66" i="12"/>
  <c r="AJ66" i="12"/>
  <c r="AI66" i="12"/>
  <c r="AH66" i="12"/>
  <c r="AG66" i="12"/>
  <c r="AK65" i="12"/>
  <c r="AJ65" i="12"/>
  <c r="AI65" i="12"/>
  <c r="AH65" i="12"/>
  <c r="AG65" i="12"/>
  <c r="AG64" i="12"/>
  <c r="V64" i="12"/>
  <c r="AK64" i="12"/>
  <c r="U64" i="12"/>
  <c r="AJ64" i="12"/>
  <c r="T64" i="12"/>
  <c r="AI64" i="12"/>
  <c r="S64" i="12"/>
  <c r="AH64" i="12"/>
  <c r="AK61" i="12"/>
  <c r="AJ61" i="12"/>
  <c r="AI61" i="12"/>
  <c r="AH61" i="12"/>
  <c r="AG61" i="12"/>
  <c r="AG60" i="12"/>
  <c r="V60" i="12"/>
  <c r="AK60" i="12"/>
  <c r="U60" i="12"/>
  <c r="AJ60" i="12"/>
  <c r="T60" i="12"/>
  <c r="AI60" i="12"/>
  <c r="S60" i="12"/>
  <c r="AH60" i="12"/>
  <c r="V59" i="12"/>
  <c r="AK59" i="12"/>
  <c r="U59" i="12"/>
  <c r="AJ59" i="12"/>
  <c r="T59" i="12"/>
  <c r="AI59" i="12"/>
  <c r="S59" i="12"/>
  <c r="AH59" i="12"/>
  <c r="R59" i="12"/>
  <c r="AG59" i="12"/>
  <c r="AK56" i="12"/>
  <c r="AJ56" i="12"/>
  <c r="AI56" i="12"/>
  <c r="AH56" i="12"/>
  <c r="AG56" i="12"/>
  <c r="AK55" i="12"/>
  <c r="AJ55" i="12"/>
  <c r="AI55" i="12"/>
  <c r="AH55" i="12"/>
  <c r="AG55" i="12"/>
  <c r="AK54" i="12"/>
  <c r="AJ54" i="12"/>
  <c r="AI54" i="12"/>
  <c r="AH54" i="12"/>
  <c r="AG54" i="12"/>
  <c r="AK53" i="12"/>
  <c r="AJ53" i="12"/>
  <c r="AI53" i="12"/>
  <c r="AH53" i="12"/>
  <c r="R53" i="12"/>
  <c r="AG53" i="12"/>
  <c r="AG34" i="12"/>
  <c r="V34" i="12"/>
  <c r="AK34" i="12"/>
  <c r="U34" i="12"/>
  <c r="AJ34" i="12"/>
  <c r="T34" i="12"/>
  <c r="AI34" i="12"/>
  <c r="S34" i="12"/>
  <c r="AH34" i="12"/>
  <c r="AK33" i="12"/>
  <c r="AJ33" i="12"/>
  <c r="AI33" i="12"/>
  <c r="AH33" i="12"/>
  <c r="AG33" i="12"/>
  <c r="J33" i="12"/>
  <c r="AK32" i="12"/>
  <c r="AJ32" i="12"/>
  <c r="AI32" i="12"/>
  <c r="AH32" i="12"/>
  <c r="R32" i="12"/>
  <c r="AG32" i="12"/>
  <c r="M40" i="1"/>
  <c r="M41" i="1"/>
  <c r="M42" i="1"/>
  <c r="M43" i="1"/>
  <c r="M39" i="1"/>
  <c r="I168" i="10"/>
  <c r="A3" i="10"/>
  <c r="A2" i="10"/>
  <c r="B2" i="2"/>
  <c r="B3" i="2"/>
</calcChain>
</file>

<file path=xl/sharedStrings.xml><?xml version="1.0" encoding="utf-8"?>
<sst xmlns="http://schemas.openxmlformats.org/spreadsheetml/2006/main" count="882" uniqueCount="292">
  <si>
    <t>1971/2000</t>
  </si>
  <si>
    <t>1983/2001</t>
  </si>
  <si>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</si>
  <si>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</si>
  <si>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</si>
  <si>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(12)</t>
  </si>
  <si>
    <t>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t>
  </si>
  <si>
    <t>GSF Magellan</t>
  </si>
  <si>
    <t>Sedco 700</t>
  </si>
  <si>
    <t>Gabon</t>
  </si>
  <si>
    <t>1976/1994/ 2008</t>
  </si>
  <si>
    <t>1985/2007</t>
  </si>
  <si>
    <t>Husky</t>
  </si>
  <si>
    <t>BHP Billiton</t>
  </si>
  <si>
    <t>Discoverer Seven Seas</t>
  </si>
  <si>
    <t>Rig Type/Name</t>
  </si>
  <si>
    <t>Water</t>
  </si>
  <si>
    <t>Sedneth 701</t>
  </si>
  <si>
    <t>Depth</t>
  </si>
  <si>
    <t>Service</t>
  </si>
  <si>
    <t>1987/1997</t>
  </si>
  <si>
    <t>1983/1988</t>
  </si>
  <si>
    <t>1983/1992</t>
  </si>
  <si>
    <t>1976/1997</t>
  </si>
  <si>
    <t>1973/1997</t>
  </si>
  <si>
    <t>1983/1997</t>
  </si>
  <si>
    <t>1972/1993</t>
  </si>
  <si>
    <t>1974/1993</t>
  </si>
  <si>
    <t>Location</t>
  </si>
  <si>
    <t>USGOM</t>
  </si>
  <si>
    <t>UKNS</t>
  </si>
  <si>
    <t>Brazil</t>
  </si>
  <si>
    <t>NNS</t>
  </si>
  <si>
    <t>Petrobras</t>
  </si>
  <si>
    <t>Nigeria</t>
  </si>
  <si>
    <t>Shell</t>
  </si>
  <si>
    <t>Total</t>
  </si>
  <si>
    <t>Indonesia</t>
  </si>
  <si>
    <t>Australia</t>
  </si>
  <si>
    <t>Angola</t>
  </si>
  <si>
    <t>India</t>
  </si>
  <si>
    <t>ONGC</t>
  </si>
  <si>
    <t>N/A</t>
  </si>
  <si>
    <t>Thailand</t>
  </si>
  <si>
    <t>Transocean Legend</t>
  </si>
  <si>
    <t>BP</t>
  </si>
  <si>
    <t>Malaysia</t>
  </si>
  <si>
    <t>Jack Bates</t>
  </si>
  <si>
    <t>1986/1997</t>
  </si>
  <si>
    <t>1983/1996</t>
  </si>
  <si>
    <t>1974/1996</t>
  </si>
  <si>
    <t xml:space="preserve"> </t>
  </si>
  <si>
    <t>ship</t>
  </si>
  <si>
    <t>semi</t>
  </si>
  <si>
    <t>Floater</t>
  </si>
  <si>
    <t>Type</t>
  </si>
  <si>
    <t>Reliance</t>
  </si>
  <si>
    <t>Anadarko</t>
  </si>
  <si>
    <t>Nexen</t>
  </si>
  <si>
    <t>ExxonMobil</t>
  </si>
  <si>
    <t>Chevron</t>
  </si>
  <si>
    <t>«</t>
  </si>
  <si>
    <t>Entered</t>
  </si>
  <si>
    <t>Estimated</t>
  </si>
  <si>
    <t>(Feet)</t>
  </si>
  <si>
    <t>(Dollars)</t>
  </si>
  <si>
    <t>TBA</t>
  </si>
  <si>
    <t>Eni</t>
  </si>
  <si>
    <t>1973/2007</t>
  </si>
  <si>
    <t>GSF Explorer</t>
  </si>
  <si>
    <t>1972/1998</t>
  </si>
  <si>
    <t>1982/1998</t>
  </si>
  <si>
    <t>GSF Galaxy I</t>
  </si>
  <si>
    <t>1991/2001</t>
  </si>
  <si>
    <t>Canada</t>
  </si>
  <si>
    <t>Footnotes</t>
  </si>
  <si>
    <t>Stacked</t>
  </si>
  <si>
    <t>DISCLAIMERS &amp; DEFINITIONS</t>
  </si>
  <si>
    <t>Sedco 712</t>
  </si>
  <si>
    <t>Ghana</t>
  </si>
  <si>
    <t>Midwater Floaters</t>
  </si>
  <si>
    <t>Statoil</t>
  </si>
  <si>
    <t>Customer</t>
  </si>
  <si>
    <t>High Specification Jackups</t>
  </si>
  <si>
    <t>Transocean Rather</t>
  </si>
  <si>
    <t>GSF Rig 135</t>
  </si>
  <si>
    <t>Stacked Rigs</t>
  </si>
  <si>
    <t>Prior to 2010</t>
  </si>
  <si>
    <t>Start Date</t>
  </si>
  <si>
    <t>Stacked and Idle rigs detailed above are not currently operating on contract.  Start date denotes when rig commences idle or stacked status.</t>
  </si>
  <si>
    <t xml:space="preserve">Australia </t>
  </si>
  <si>
    <t>Dayrate on</t>
  </si>
  <si>
    <t>GSF Celtic Sea</t>
  </si>
  <si>
    <t>Rig Management Norway</t>
  </si>
  <si>
    <t>Sovereign Explorer</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</si>
  <si>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</si>
  <si>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</si>
  <si>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</si>
  <si>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</si>
  <si>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</si>
  <si>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</si>
  <si>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</si>
  <si>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</si>
  <si>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</si>
  <si>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</si>
  <si>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</si>
  <si>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</si>
  <si>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</si>
  <si>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</si>
  <si>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Estimated Average Contract Dayrate is defined as the average contracted full operating dayrate to be earned per revenue earning day. See note (3) for definition of full operating dayrate.</t>
  </si>
  <si>
    <t>BG</t>
  </si>
  <si>
    <t>Sedco 601</t>
  </si>
  <si>
    <t>J.W. McLean</t>
  </si>
  <si>
    <t>Reflects the current contracted dayrate which could reflect prior cost escalations and could change in the future due to further cost escalations.</t>
  </si>
  <si>
    <t>Tullow</t>
  </si>
  <si>
    <t>GDF Suez</t>
  </si>
  <si>
    <t>Transocean Amirante</t>
  </si>
  <si>
    <t>ENI</t>
  </si>
  <si>
    <t>Conoco Phillips</t>
  </si>
  <si>
    <t>Congo</t>
  </si>
  <si>
    <t>Marathon</t>
  </si>
  <si>
    <t>DNO</t>
  </si>
  <si>
    <t>Talisman</t>
  </si>
  <si>
    <t>Transocean Siam Driller</t>
  </si>
  <si>
    <t>Transocean Andaman</t>
  </si>
  <si>
    <t>Transocean Ao Thai</t>
  </si>
  <si>
    <t>Santos</t>
  </si>
  <si>
    <t>Taqa</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</si>
  <si>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</si>
  <si>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NPDC</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</si>
  <si>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</si>
  <si>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</si>
  <si>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</si>
  <si>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</si>
  <si>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</si>
  <si>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</si>
  <si>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</si>
  <si>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Current Contract </t>
    </r>
    <r>
      <rPr>
        <b/>
        <vertAlign val="superscript"/>
        <sz val="10"/>
        <color theme="0"/>
        <rFont val="Arial"/>
        <family val="2"/>
      </rPr>
      <t>(3)</t>
    </r>
  </si>
  <si>
    <r>
      <t xml:space="preserve">Previous Contract </t>
    </r>
    <r>
      <rPr>
        <b/>
        <vertAlign val="superscript"/>
        <sz val="10"/>
        <color theme="0"/>
        <rFont val="Arial"/>
        <family val="2"/>
      </rPr>
      <t>(3)</t>
    </r>
  </si>
  <si>
    <r>
      <t xml:space="preserve"> Date </t>
    </r>
    <r>
      <rPr>
        <b/>
        <vertAlign val="superscript"/>
        <sz val="10"/>
        <color theme="0"/>
        <rFont val="Arial"/>
        <family val="2"/>
      </rPr>
      <t>(2)</t>
    </r>
  </si>
  <si>
    <t xml:space="preserve">Footnote </t>
  </si>
  <si>
    <t>References</t>
  </si>
  <si>
    <t>Transocean Spitsbergen</t>
  </si>
  <si>
    <t>Transocean Barents</t>
  </si>
  <si>
    <t>Transocean Leader</t>
  </si>
  <si>
    <t xml:space="preserve"> (6), (7)</t>
  </si>
  <si>
    <t>Paul B. Loyd, Jr.</t>
  </si>
  <si>
    <t>Transocean Arctic</t>
  </si>
  <si>
    <t>Sedco 711</t>
  </si>
  <si>
    <t>(6), (7)</t>
  </si>
  <si>
    <t>GSF Monarch</t>
  </si>
  <si>
    <t>High Specification Floater: Ultra-Deepwater</t>
  </si>
  <si>
    <t>High Specification Floater: Harsh Environment</t>
  </si>
  <si>
    <t>Deepwater Expedition</t>
  </si>
  <si>
    <t>Discoverer Americas</t>
  </si>
  <si>
    <t>Deepwater Champion</t>
  </si>
  <si>
    <t>Discoverer Clear Leader</t>
  </si>
  <si>
    <t>Discoverer Inspiration</t>
  </si>
  <si>
    <t>Dhirubhai Deepwater KG1</t>
  </si>
  <si>
    <t>Dhirubhai Deepwater KG2</t>
  </si>
  <si>
    <t>Discoverer India</t>
  </si>
  <si>
    <t>Petrobras 10000</t>
  </si>
  <si>
    <t xml:space="preserve"> (6), (7), (8)</t>
  </si>
  <si>
    <t>Discoverer Enterprise</t>
  </si>
  <si>
    <t>Discoverer Spirit</t>
  </si>
  <si>
    <t>GSF C.R. Luigs</t>
  </si>
  <si>
    <t>GSF Jack Ryan</t>
  </si>
  <si>
    <t>Deepwater Discovery</t>
  </si>
  <si>
    <t>Deepwater Frontier</t>
  </si>
  <si>
    <t>Deepwater Millennium</t>
  </si>
  <si>
    <t>Deepwater Pathfinder</t>
  </si>
  <si>
    <t>Cajun Express</t>
  </si>
  <si>
    <t>Deepwater Nautilus</t>
  </si>
  <si>
    <t>Discoverer Luanda</t>
  </si>
  <si>
    <t>GSF Development Driller I</t>
  </si>
  <si>
    <t>GSF Development Driller II</t>
  </si>
  <si>
    <t>Development Driller III</t>
  </si>
  <si>
    <t>Sedco Express</t>
  </si>
  <si>
    <t>Deepwater Navigator</t>
  </si>
  <si>
    <t xml:space="preserve"> (7), (8)</t>
  </si>
  <si>
    <t>Transocean Marianas</t>
  </si>
  <si>
    <t>Sedco 706</t>
  </si>
  <si>
    <t>Sedco 707</t>
  </si>
  <si>
    <t>M.G. Hulme, Jr.</t>
  </si>
  <si>
    <t>Sedco 710</t>
  </si>
  <si>
    <t>Henry Goodrich</t>
  </si>
  <si>
    <t>Polar Pioneer</t>
  </si>
  <si>
    <t>GSF Arctic I</t>
  </si>
  <si>
    <t>Transocean Driller</t>
  </si>
  <si>
    <t>GSF Rig 140</t>
  </si>
  <si>
    <t>Transocean John Shaw</t>
  </si>
  <si>
    <t>Sedco 714</t>
  </si>
  <si>
    <t>GSF Grand Banks</t>
  </si>
  <si>
    <t>Actinia</t>
  </si>
  <si>
    <t>Transocean Winner</t>
  </si>
  <si>
    <t>Transocean Searcher</t>
  </si>
  <si>
    <t>Transocean Prospect</t>
  </si>
  <si>
    <t>GSF Constellation I</t>
  </si>
  <si>
    <t>GSF Constellation II</t>
  </si>
  <si>
    <t>GSF Galaxy II</t>
  </si>
  <si>
    <t>GSF Galaxy III</t>
  </si>
  <si>
    <t>Sedco 702</t>
  </si>
  <si>
    <t>Sedco Energy</t>
  </si>
  <si>
    <t>GSF Arctic III</t>
  </si>
  <si>
    <t>Sedco 704</t>
  </si>
  <si>
    <t>Revisions Noted in Bold</t>
  </si>
  <si>
    <t>Maersk</t>
  </si>
  <si>
    <t>Transocean Honor</t>
  </si>
  <si>
    <t>Q4</t>
  </si>
  <si>
    <t>Q1</t>
  </si>
  <si>
    <t>Q2</t>
  </si>
  <si>
    <t>Q3</t>
  </si>
  <si>
    <t>ATP Oil &amp; Gas</t>
  </si>
  <si>
    <t>Prev</t>
  </si>
  <si>
    <t>Namibia</t>
  </si>
  <si>
    <t xml:space="preserve"> (6)</t>
  </si>
  <si>
    <t>Discoverer Deep Seas</t>
  </si>
  <si>
    <t>Murphy Oil</t>
  </si>
  <si>
    <t>Q2 2017</t>
  </si>
  <si>
    <t>Q2 2016</t>
  </si>
  <si>
    <t>(6), (8)</t>
  </si>
  <si>
    <t>Inpex</t>
  </si>
  <si>
    <t>High Specification Floater: Deepwater</t>
  </si>
  <si>
    <t xml:space="preserve"> (6), (13)</t>
  </si>
  <si>
    <t>Fixed-Price Options - See Footnote 10</t>
  </si>
  <si>
    <t>1978/1997</t>
  </si>
  <si>
    <t>1979/1998</t>
  </si>
  <si>
    <t>For the period of time that this rig is contracted to Applied Drilling Technology International, the drilling management services division of the company's U.K. operating subsidiary, accounting rules require that we eliminate the revenues and costs related to those contracts from the contract drilling segment of the consolidated statement of operations.  Revenues from turnkey contracts will be recognized in other revenues and are contingent upon successful completion of the well program.</t>
  </si>
  <si>
    <t>Spain</t>
  </si>
  <si>
    <t>Saudi Arabia</t>
  </si>
  <si>
    <t>Saudi Aramco</t>
  </si>
  <si>
    <t>Cairn Energy</t>
  </si>
  <si>
    <t>Tanzania</t>
  </si>
  <si>
    <r>
      <t xml:space="preserve">Estimated Out of Service Days </t>
    </r>
    <r>
      <rPr>
        <b/>
        <vertAlign val="superscript"/>
        <sz val="10"/>
        <color theme="0"/>
        <rFont val="Arial"/>
        <family val="2"/>
      </rPr>
      <t>(4)</t>
    </r>
  </si>
  <si>
    <t>Q1 2017</t>
  </si>
  <si>
    <t>Morocco/Senegal</t>
  </si>
  <si>
    <t>Woodside</t>
  </si>
  <si>
    <t xml:space="preserve"> (7)</t>
  </si>
  <si>
    <t>GSF Monitor</t>
  </si>
  <si>
    <t xml:space="preserve">Estimated Contract Start and Estimated Expiration Dates are calculated as follows: (1) for events estimated to occur between the 1st and 15th of a month, the previous month is reported (i.e. a contract which is estimated to commence on May 4, 2013 will be reported as commencing in April 2013) and (2) for events estimated to occur between the 16th and the end of a month, the actual month is reported (i.e. a contract which is estimated to commence on May 24, 2013 will be reported as commencing in May 2013).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</si>
  <si>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 xml:space="preserve"> (7), (8), (15)</t>
  </si>
  <si>
    <t>(7), (8), (15)</t>
  </si>
  <si>
    <t>GSF Aleutian Key</t>
  </si>
  <si>
    <t>Midwater Floaters (5)</t>
  </si>
  <si>
    <t>1976/1999/2001</t>
  </si>
  <si>
    <t>BHP</t>
  </si>
  <si>
    <t xml:space="preserve"> (6), (8)</t>
  </si>
  <si>
    <t xml:space="preserve"> N/A </t>
  </si>
  <si>
    <t>Suncor</t>
  </si>
  <si>
    <t>Malta</t>
  </si>
  <si>
    <t>Idle</t>
  </si>
  <si>
    <t xml:space="preserve"> (6), (12)</t>
  </si>
  <si>
    <t>(6), (7), (17)</t>
  </si>
  <si>
    <t xml:space="preserve"> (6), (19)</t>
  </si>
  <si>
    <t xml:space="preserve"> (6), (7), (20)</t>
  </si>
  <si>
    <t>(6), (8), (19)</t>
  </si>
  <si>
    <t>Deepwater (3)</t>
  </si>
  <si>
    <t>Idle (1)</t>
  </si>
  <si>
    <t>(6), (7), (16)</t>
  </si>
  <si>
    <t>Updated: November 14, 2013</t>
  </si>
  <si>
    <t>End date now 11/24 vs. 10/31</t>
  </si>
  <si>
    <t>Delayed start to Murphy Cx due to Chevron extension</t>
  </si>
  <si>
    <t>Cx extended from Feb 2014 to Nov 2014</t>
  </si>
  <si>
    <t>KFELS Jackup TBN1</t>
  </si>
  <si>
    <t>KFELS Jackup TBN2</t>
  </si>
  <si>
    <t>KFELS Jackup TBN3</t>
  </si>
  <si>
    <t>KFELS Jackup TBN4</t>
  </si>
  <si>
    <t>KFELS Jackup TBN5</t>
  </si>
  <si>
    <t>Q1 2016</t>
  </si>
  <si>
    <t>Q3 2016</t>
  </si>
  <si>
    <t>Rigs Under Construction</t>
  </si>
  <si>
    <t>Cx extended from Oct to Dec</t>
  </si>
  <si>
    <t>Alaska</t>
  </si>
  <si>
    <t>OOS moved from Q3 to Q4</t>
  </si>
  <si>
    <t>29 OOS days moved from Q3 to Q4</t>
  </si>
  <si>
    <t xml:space="preserve">Less 24 SY days, 1 day in Q1 &amp; 23 days in Q2 </t>
  </si>
  <si>
    <t>16 less days SY in 2014</t>
  </si>
  <si>
    <t>39 days of OOS for completion of UWILD</t>
  </si>
  <si>
    <t>Jan &gt; Feb; Delay in start of SY and 58 days added to 2014 OOS</t>
  </si>
  <si>
    <t>Option Exercised</t>
  </si>
  <si>
    <t>The contract provides for an operating dayrate of $620,000 during the summer season (from July through October) and $589,000 per day during the winter season (from November through June).</t>
  </si>
  <si>
    <t>KFELS High-Specification Jackup TBN2</t>
  </si>
  <si>
    <t>KFELS High-Specification Jackup TBN1</t>
  </si>
  <si>
    <t>KFELS High-Specification Jackup TBN3</t>
  </si>
  <si>
    <t>KFELS High-Specification Jackup TBN4</t>
  </si>
  <si>
    <t>KFELS High-Specification Jackup TBN5</t>
  </si>
  <si>
    <t>South Africa</t>
  </si>
  <si>
    <r>
      <t>(6),</t>
    </r>
    <r>
      <rPr>
        <b/>
        <sz val="10"/>
        <rFont val="Arial"/>
        <family val="2"/>
      </rPr>
      <t xml:space="preserve"> (13)</t>
    </r>
  </si>
  <si>
    <t>(13)</t>
  </si>
  <si>
    <t>The first of five newbuild high-specification jackups contracted to Keppel FELS Limited's shipyard in Singapore is expected to be delivered from the shipyard in the first quarter of 2016 and the remaining four jackups delivered at approximately four-month intervals thereafter.</t>
  </si>
  <si>
    <t>By mutual agreement (related to a previous fire incident on the rig), dayrate will be $455,000 from May 1, 2014 to October 15, 2014.  If there is a well-in-progress at October 15, 2014, the dayrate will revert back to $600,000.</t>
  </si>
  <si>
    <t>Updated: November 18, 2013</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</si>
</sst>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_(* #,##0_);_(* \(#,##0\);_(* &quot;-&quot;??_);_(@_)"/>
    <numFmt numFmtId="167" formatCode="#,##0.0%;[Red]\(#,##0.0%\)"/>
  </numFmts>
  <fonts count="47" x14ac:knownFonts="1">
    <font>
      <sz val="10"/>
      <name val="Arial"/>
    </font>
    <font>
      <sz val="11"/>
      <color theme="1"/>
      <name val="Calibri"/>
      <family val="2"/>
      <scheme val="minor"/>
    </font>
    <font>
      <sz val="11"/>
      <color theme="1"/>
      <name val="Calibri"/>
      <family val="2"/>
      <scheme val="minor"/>
    </font>
    <font>
      <sz val="10"/>
      <color theme="1"/>
      <name val="Arial"/>
      <family val="2"/>
    </font>
    <font>
      <sz val="10"/>
      <name val="Arial"/>
      <family val="2"/>
    </font>
    <font>
      <b/>
      <sz val="10"/>
      <name val="Arial"/>
      <family val="2"/>
    </font>
    <font>
      <sz val="10"/>
      <name val="Arial"/>
      <family val="2"/>
    </font>
    <font>
      <vertAlign val="superscript"/>
      <sz val="10"/>
      <name val="Arial"/>
      <family val="2"/>
    </font>
    <font>
      <b/>
      <vertAlign val="superscript"/>
      <sz val="10"/>
      <name val="Arial"/>
      <family val="2"/>
    </font>
    <font>
      <sz val="10"/>
      <color indexed="12"/>
      <name val="Arial"/>
      <family val="2"/>
    </font>
    <font>
      <sz val="10"/>
      <name val="Arial"/>
      <family val="2"/>
    </font>
    <font>
      <b/>
      <i/>
      <sz val="10"/>
      <name val="Arial"/>
      <family val="2"/>
    </font>
    <font>
      <i/>
      <sz val="10"/>
      <name val="Arial"/>
      <family val="2"/>
    </font>
    <font>
      <b/>
      <i/>
      <sz val="14"/>
      <name val="Arial"/>
      <family val="2"/>
    </font>
    <font>
      <sz val="10"/>
      <name val="Wingdings"/>
      <charset val="2"/>
    </font>
    <font>
      <sz val="10"/>
      <name val="Arial"/>
      <family val="2"/>
    </font>
    <font>
      <sz val="8"/>
      <name val="Arial"/>
      <family val="2"/>
    </font>
    <font>
      <sz val="10"/>
      <color indexed="10"/>
      <name val="Arial"/>
      <family val="2"/>
    </font>
    <font>
      <i/>
      <sz val="14"/>
      <name val="Arial"/>
      <family val="2"/>
    </font>
    <font>
      <b/>
      <sz val="10"/>
      <name val="Wingdings"/>
      <charset val="2"/>
    </font>
    <font>
      <sz val="10"/>
      <name val="Arial"/>
      <family val="2"/>
    </font>
    <font>
      <sz val="18"/>
      <color indexed="10"/>
      <name val="Arial"/>
      <family val="2"/>
    </font>
    <font>
      <vertAlign val="superscript"/>
      <sz val="10"/>
      <color theme="1"/>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b/>
      <i/>
      <sz val="10"/>
      <color theme="0"/>
      <name val="Wingdings"/>
      <charset val="2"/>
    </font>
    <font>
      <b/>
      <i/>
      <sz val="10"/>
      <color rgb="FF0033CC"/>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10">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
      <patternFill patternType="solid">
        <fgColor rgb="FFFFFF99"/>
        <bgColor indexed="64"/>
      </patternFill>
    </fill>
  </fills>
  <borders count="17">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top/>
      <bottom style="thin">
        <color auto="1"/>
      </bottom>
      <diagonal/>
    </border>
    <border>
      <left style="thin">
        <color auto="1"/>
      </left>
      <right/>
      <top/>
      <bottom/>
      <diagonal/>
    </border>
    <border>
      <left/>
      <right style="thin">
        <color auto="1"/>
      </right>
      <top style="thin">
        <color auto="1"/>
      </top>
      <bottom/>
      <diagonal/>
    </border>
    <border>
      <left style="thin">
        <color auto="1"/>
      </left>
      <right/>
      <top style="thin">
        <color auto="1"/>
      </top>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medium">
        <color auto="1"/>
      </top>
      <bottom style="medium">
        <color auto="1"/>
      </bottom>
      <diagonal/>
    </border>
  </borders>
  <cellStyleXfs count="42">
    <xf numFmtId="0" fontId="0" fillId="0" borderId="0"/>
    <xf numFmtId="0" fontId="5" fillId="2" borderId="0" applyNumberFormat="0" applyFont="0" applyAlignment="0">
      <alignment vertical="top"/>
    </xf>
    <xf numFmtId="0" fontId="6" fillId="2" borderId="0" applyNumberFormat="0" applyFont="0" applyAlignment="0">
      <alignment vertical="top" wrapText="1"/>
    </xf>
    <xf numFmtId="0" fontId="4" fillId="2" borderId="0" applyNumberFormat="0" applyFont="0" applyAlignment="0">
      <alignment vertical="top" wrapText="1"/>
    </xf>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0"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20"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43" fontId="41" fillId="0" borderId="0" applyFont="0" applyFill="0" applyBorder="0" applyAlignment="0" applyProtection="0"/>
    <xf numFmtId="0" fontId="2" fillId="0" borderId="0"/>
    <xf numFmtId="0" fontId="41" fillId="0" borderId="0"/>
    <xf numFmtId="9" fontId="41" fillId="0" borderId="0" applyFont="0" applyFill="0" applyBorder="0" applyAlignment="0" applyProtection="0"/>
    <xf numFmtId="41" fontId="4" fillId="8" borderId="0" applyNumberFormat="0" applyFont="0" applyBorder="0" applyAlignment="0" applyProtection="0"/>
    <xf numFmtId="0" fontId="42" fillId="0" borderId="0" applyNumberFormat="0" applyFill="0" applyBorder="0" applyAlignment="0" applyProtection="0"/>
    <xf numFmtId="0" fontId="43" fillId="0" borderId="2">
      <alignment horizontal="left" vertical="center"/>
    </xf>
    <xf numFmtId="167" fontId="4" fillId="0" borderId="0"/>
    <xf numFmtId="0" fontId="43" fillId="0" borderId="16" applyNumberFormat="0" applyAlignment="0" applyProtection="0">
      <alignment horizontal="left" vertical="center"/>
    </xf>
    <xf numFmtId="43" fontId="2" fillId="0" borderId="0" applyFont="0" applyFill="0" applyBorder="0" applyAlignment="0" applyProtection="0"/>
    <xf numFmtId="44" fontId="41" fillId="0" borderId="0" applyFont="0" applyFill="0" applyBorder="0" applyAlignment="0" applyProtection="0"/>
    <xf numFmtId="43" fontId="2" fillId="0" borderId="0" applyFont="0" applyFill="0" applyBorder="0" applyAlignment="0" applyProtection="0"/>
    <xf numFmtId="37" fontId="44" fillId="0" borderId="0"/>
    <xf numFmtId="0" fontId="2" fillId="0" borderId="0"/>
    <xf numFmtId="49" fontId="45" fillId="0" borderId="0" applyFill="0" applyBorder="0" applyProtection="0">
      <alignment horizontal="left"/>
    </xf>
    <xf numFmtId="0" fontId="2" fillId="0" borderId="0"/>
    <xf numFmtId="0" fontId="2" fillId="0" borderId="0"/>
    <xf numFmtId="0" fontId="4" fillId="0" borderId="0"/>
    <xf numFmtId="0" fontId="4" fillId="0" borderId="0"/>
    <xf numFmtId="0" fontId="4" fillId="0" borderId="0"/>
    <xf numFmtId="0" fontId="1" fillId="0" borderId="0"/>
    <xf numFmtId="43" fontId="1" fillId="0" borderId="0" applyFont="0" applyFill="0" applyBorder="0" applyAlignment="0" applyProtection="0"/>
  </cellStyleXfs>
  <cellXfs count="541">
    <xf numFmtId="0" fontId="0" fillId="0" borderId="0" xfId="0"/>
    <xf numFmtId="0" fontId="6" fillId="0" borderId="0" xfId="0" applyFont="1" applyFill="1" applyBorder="1" applyAlignment="1">
      <alignment horizontal="center" vertical="top"/>
    </xf>
    <xf numFmtId="0" fontId="6" fillId="0" borderId="0" xfId="0" applyFont="1" applyFill="1" applyBorder="1" applyAlignment="1">
      <alignment vertical="top"/>
    </xf>
    <xf numFmtId="3" fontId="6" fillId="0" borderId="0" xfId="0" applyNumberFormat="1" applyFont="1" applyFill="1" applyBorder="1" applyAlignment="1">
      <alignment horizontal="center" vertical="top"/>
    </xf>
    <xf numFmtId="0" fontId="5" fillId="0" borderId="0" xfId="0" applyFont="1" applyFill="1" applyBorder="1" applyAlignment="1">
      <alignment horizontal="center"/>
    </xf>
    <xf numFmtId="0" fontId="5" fillId="0" borderId="0" xfId="0" applyFont="1" applyFill="1" applyBorder="1"/>
    <xf numFmtId="0" fontId="10" fillId="0" borderId="0" xfId="0" applyFont="1" applyFill="1"/>
    <xf numFmtId="0" fontId="4" fillId="0" borderId="0" xfId="0" applyFont="1" applyFill="1"/>
    <xf numFmtId="0" fontId="6" fillId="0" borderId="0" xfId="0" applyFont="1" applyFill="1" applyAlignment="1">
      <alignment vertical="center"/>
    </xf>
    <xf numFmtId="0" fontId="6" fillId="0" borderId="0" xfId="0" applyFont="1" applyFill="1" applyAlignment="1">
      <alignment horizontal="left"/>
    </xf>
    <xf numFmtId="165" fontId="10" fillId="0" borderId="0" xfId="0" applyNumberFormat="1" applyFont="1" applyFill="1" applyAlignment="1">
      <alignment vertical="center"/>
    </xf>
    <xf numFmtId="0" fontId="15" fillId="0" borderId="0" xfId="0" applyFont="1" applyFill="1" applyBorder="1" applyAlignment="1">
      <alignment vertical="top"/>
    </xf>
    <xf numFmtId="3" fontId="6" fillId="0" borderId="2" xfId="2" applyNumberFormat="1" applyFont="1" applyFill="1" applyBorder="1" applyAlignment="1">
      <alignment horizontal="center" vertical="top"/>
    </xf>
    <xf numFmtId="0" fontId="6" fillId="0" borderId="2" xfId="2" applyFont="1" applyFill="1" applyBorder="1" applyAlignment="1">
      <alignment horizontal="center" vertical="top" wrapText="1"/>
    </xf>
    <xf numFmtId="0" fontId="6" fillId="0" borderId="2" xfId="2" applyFont="1" applyFill="1" applyBorder="1" applyAlignment="1">
      <alignment horizontal="center" vertical="top"/>
    </xf>
    <xf numFmtId="0" fontId="9" fillId="0" borderId="2" xfId="2" applyFont="1" applyFill="1" applyBorder="1" applyAlignment="1">
      <alignment horizontal="center" vertical="top"/>
    </xf>
    <xf numFmtId="1" fontId="6" fillId="0" borderId="2" xfId="2" applyNumberFormat="1" applyFont="1" applyFill="1" applyBorder="1" applyAlignment="1">
      <alignment horizontal="center" vertical="top"/>
    </xf>
    <xf numFmtId="17" fontId="6" fillId="0" borderId="2" xfId="2" applyNumberFormat="1" applyFont="1" applyFill="1" applyBorder="1" applyAlignment="1">
      <alignment horizontal="center" vertical="top" wrapText="1"/>
    </xf>
    <xf numFmtId="17" fontId="6" fillId="0" borderId="2" xfId="2" applyNumberFormat="1" applyFont="1" applyFill="1" applyBorder="1" applyAlignment="1">
      <alignment horizontal="right" vertical="top" wrapText="1"/>
    </xf>
    <xf numFmtId="164" fontId="15" fillId="0" borderId="2" xfId="2" applyNumberFormat="1" applyFont="1" applyFill="1" applyBorder="1" applyAlignment="1">
      <alignment horizontal="right" vertical="top" wrapText="1"/>
    </xf>
    <xf numFmtId="164" fontId="6" fillId="0" borderId="2" xfId="2" applyNumberFormat="1" applyFont="1" applyFill="1" applyBorder="1" applyAlignment="1">
      <alignment horizontal="right" vertical="top" wrapText="1"/>
    </xf>
    <xf numFmtId="0" fontId="4" fillId="0" borderId="0" xfId="0" applyFont="1"/>
    <xf numFmtId="0" fontId="4" fillId="0" borderId="0" xfId="0" applyFont="1" applyFill="1" applyAlignment="1">
      <alignment vertical="top" wrapText="1"/>
    </xf>
    <xf numFmtId="0" fontId="4" fillId="0" borderId="0" xfId="0" applyFont="1" applyFill="1" applyBorder="1" applyAlignment="1">
      <alignment vertical="top" wrapText="1"/>
    </xf>
    <xf numFmtId="0" fontId="0" fillId="0" borderId="0" xfId="0" applyFill="1"/>
    <xf numFmtId="0" fontId="17" fillId="0" borderId="0" xfId="0" applyFont="1" applyFill="1" applyAlignment="1">
      <alignment vertical="top" wrapText="1"/>
    </xf>
    <xf numFmtId="0" fontId="17" fillId="0" borderId="0" xfId="0" applyFont="1" applyAlignment="1">
      <alignment vertical="top" wrapText="1"/>
    </xf>
    <xf numFmtId="0" fontId="5" fillId="0" borderId="0" xfId="0" quotePrefix="1" applyFont="1" applyFill="1" applyBorder="1" applyAlignment="1">
      <alignment vertical="center"/>
    </xf>
    <xf numFmtId="49" fontId="7" fillId="0" borderId="0" xfId="0" applyNumberFormat="1" applyFont="1" applyFill="1" applyAlignment="1">
      <alignment horizontal="right" vertical="top"/>
    </xf>
    <xf numFmtId="49" fontId="7" fillId="0" borderId="0" xfId="0" applyNumberFormat="1" applyFont="1" applyAlignment="1">
      <alignment horizontal="right" vertical="top"/>
    </xf>
    <xf numFmtId="49" fontId="7" fillId="0" borderId="0" xfId="0" applyNumberFormat="1" applyFont="1" applyAlignment="1">
      <alignment horizontal="right" vertical="top" wrapText="1"/>
    </xf>
    <xf numFmtId="165" fontId="6" fillId="0" borderId="0" xfId="0" quotePrefix="1" applyNumberFormat="1" applyFont="1" applyFill="1" applyAlignment="1">
      <alignment vertical="center"/>
    </xf>
    <xf numFmtId="0" fontId="5" fillId="0" borderId="0" xfId="0" quotePrefix="1" applyFont="1" applyFill="1" applyAlignment="1">
      <alignment vertical="center"/>
    </xf>
    <xf numFmtId="166" fontId="4" fillId="0" borderId="0" xfId="4" quotePrefix="1" applyNumberFormat="1" applyFont="1" applyFill="1" applyBorder="1" applyAlignment="1">
      <alignment horizontal="center" vertical="top"/>
    </xf>
    <xf numFmtId="166" fontId="4" fillId="0" borderId="0" xfId="4" applyNumberFormat="1" applyFont="1" applyFill="1" applyBorder="1" applyAlignment="1">
      <alignment horizontal="center" vertical="top"/>
    </xf>
    <xf numFmtId="17" fontId="4" fillId="0" borderId="0" xfId="3" applyNumberFormat="1" applyFont="1" applyFill="1" applyAlignment="1">
      <alignment horizontal="right" vertical="top" wrapText="1"/>
    </xf>
    <xf numFmtId="0" fontId="4" fillId="0" borderId="0" xfId="0" applyFont="1" applyFill="1" applyBorder="1"/>
    <xf numFmtId="166" fontId="5" fillId="0" borderId="0" xfId="4" applyNumberFormat="1" applyFont="1" applyFill="1" applyBorder="1" applyAlignment="1">
      <alignment horizontal="center" vertical="top"/>
    </xf>
    <xf numFmtId="166" fontId="4" fillId="0" borderId="10" xfId="4" applyNumberFormat="1" applyFont="1" applyFill="1" applyBorder="1" applyAlignment="1">
      <alignment vertical="top"/>
    </xf>
    <xf numFmtId="166" fontId="4" fillId="0" borderId="3" xfId="4" applyNumberFormat="1" applyFont="1" applyFill="1" applyBorder="1" applyAlignment="1">
      <alignment vertical="top"/>
    </xf>
    <xf numFmtId="0" fontId="4" fillId="0" borderId="0" xfId="0" applyFont="1" applyAlignment="1">
      <alignment wrapText="1"/>
    </xf>
    <xf numFmtId="0" fontId="21" fillId="0" borderId="0" xfId="0" applyFont="1"/>
    <xf numFmtId="0" fontId="17" fillId="0" borderId="0" xfId="0" applyFont="1" applyFill="1"/>
    <xf numFmtId="0" fontId="4" fillId="0" borderId="0" xfId="0" applyFont="1" applyFill="1" applyAlignment="1">
      <alignment vertical="center"/>
    </xf>
    <xf numFmtId="0" fontId="4" fillId="0" borderId="0" xfId="0" applyFont="1" applyFill="1" applyAlignment="1">
      <alignment horizontal="right"/>
    </xf>
    <xf numFmtId="165" fontId="4" fillId="0" borderId="0" xfId="0" quotePrefix="1" applyNumberFormat="1" applyFont="1" applyFill="1" applyAlignment="1">
      <alignment horizontal="left" vertical="center"/>
    </xf>
    <xf numFmtId="3" fontId="4" fillId="0" borderId="0" xfId="0" applyNumberFormat="1" applyFont="1" applyFill="1" applyBorder="1" applyAlignment="1">
      <alignment horizontal="right" vertical="top" wrapText="1"/>
    </xf>
    <xf numFmtId="0" fontId="4" fillId="0" borderId="0" xfId="0" applyFont="1" applyFill="1" applyAlignment="1">
      <alignment horizontal="left"/>
    </xf>
    <xf numFmtId="14" fontId="4" fillId="0" borderId="0" xfId="0" applyNumberFormat="1" applyFont="1" applyFill="1"/>
    <xf numFmtId="0" fontId="4" fillId="0" borderId="0" xfId="0" applyFont="1" applyFill="1" applyAlignment="1"/>
    <xf numFmtId="0" fontId="4" fillId="0" borderId="0" xfId="0" applyFont="1" applyFill="1" applyBorder="1" applyAlignment="1">
      <alignment horizontal="center"/>
    </xf>
    <xf numFmtId="0" fontId="4" fillId="0" borderId="0" xfId="0" applyFont="1" applyFill="1" applyBorder="1" applyAlignment="1">
      <alignment horizontal="center" vertical="top" wrapText="1"/>
    </xf>
    <xf numFmtId="3" fontId="4" fillId="0" borderId="0" xfId="0" applyNumberFormat="1" applyFont="1" applyFill="1" applyBorder="1" applyAlignment="1">
      <alignment horizontal="center" vertical="top" wrapText="1"/>
    </xf>
    <xf numFmtId="0" fontId="4" fillId="0" borderId="1" xfId="0" applyFont="1" applyFill="1" applyBorder="1"/>
    <xf numFmtId="166" fontId="4" fillId="0" borderId="0" xfId="4" applyNumberFormat="1" applyFont="1" applyFill="1" applyBorder="1" applyAlignment="1">
      <alignment vertical="top"/>
    </xf>
    <xf numFmtId="166" fontId="4" fillId="0" borderId="1" xfId="4" applyNumberFormat="1" applyFont="1" applyFill="1" applyBorder="1" applyAlignment="1">
      <alignment horizontal="center" vertical="top"/>
    </xf>
    <xf numFmtId="0" fontId="4" fillId="0" borderId="0" xfId="3" applyFont="1" applyFill="1" applyAlignment="1">
      <alignment horizontal="center" vertical="top" wrapText="1"/>
    </xf>
    <xf numFmtId="49" fontId="22" fillId="0" borderId="0" xfId="0" applyNumberFormat="1" applyFont="1" applyAlignment="1">
      <alignment horizontal="right" vertical="top" wrapText="1"/>
    </xf>
    <xf numFmtId="166" fontId="4" fillId="0" borderId="0" xfId="4" applyNumberFormat="1" applyFont="1" applyFill="1" applyBorder="1" applyAlignment="1">
      <alignment horizontal="right" vertical="top" wrapText="1"/>
    </xf>
    <xf numFmtId="0" fontId="4" fillId="0" borderId="0" xfId="16" applyFont="1"/>
    <xf numFmtId="0" fontId="4" fillId="0" borderId="0" xfId="16" applyFont="1" applyFill="1"/>
    <xf numFmtId="0" fontId="4" fillId="0" borderId="0" xfId="16" applyFont="1" applyFill="1" applyAlignment="1">
      <alignment vertical="center"/>
    </xf>
    <xf numFmtId="0" fontId="4" fillId="0" borderId="0" xfId="16"/>
    <xf numFmtId="166" fontId="4" fillId="0" borderId="6" xfId="4" applyNumberFormat="1" applyFont="1" applyFill="1" applyBorder="1" applyAlignment="1">
      <alignment horizontal="right" vertical="top" wrapText="1"/>
    </xf>
    <xf numFmtId="0" fontId="23" fillId="3" borderId="10" xfId="0" quotePrefix="1" applyFont="1" applyFill="1" applyBorder="1" applyAlignment="1"/>
    <xf numFmtId="0" fontId="24" fillId="3" borderId="8" xfId="0" applyFont="1" applyFill="1" applyBorder="1" applyAlignment="1"/>
    <xf numFmtId="0" fontId="25" fillId="3" borderId="3" xfId="0" applyFont="1" applyFill="1" applyBorder="1" applyAlignment="1">
      <alignment vertical="top"/>
    </xf>
    <xf numFmtId="0" fontId="26" fillId="3" borderId="3" xfId="0" applyFont="1" applyFill="1" applyBorder="1" applyAlignment="1">
      <alignment horizontal="center" vertical="top" wrapText="1"/>
    </xf>
    <xf numFmtId="0" fontId="26" fillId="3" borderId="3" xfId="0" applyFont="1" applyFill="1" applyBorder="1" applyAlignment="1">
      <alignment horizontal="center"/>
    </xf>
    <xf numFmtId="0" fontId="28" fillId="3" borderId="3" xfId="0" applyFont="1" applyFill="1" applyBorder="1" applyAlignment="1">
      <alignment vertical="top"/>
    </xf>
    <xf numFmtId="0" fontId="26" fillId="3" borderId="0" xfId="0" applyFont="1" applyFill="1" applyBorder="1" applyAlignment="1">
      <alignment horizontal="center" vertical="top"/>
    </xf>
    <xf numFmtId="0" fontId="28" fillId="3" borderId="0" xfId="0" applyFont="1" applyFill="1" applyBorder="1" applyAlignment="1">
      <alignment vertical="top"/>
    </xf>
    <xf numFmtId="0" fontId="26" fillId="3" borderId="0" xfId="0" applyFont="1" applyFill="1" applyBorder="1" applyAlignment="1">
      <alignment horizontal="center"/>
    </xf>
    <xf numFmtId="0" fontId="26" fillId="3" borderId="1" xfId="0" applyFont="1" applyFill="1" applyBorder="1" applyAlignment="1">
      <alignment horizontal="center" vertical="top" wrapText="1"/>
    </xf>
    <xf numFmtId="0" fontId="28" fillId="3" borderId="1" xfId="0" applyFont="1" applyFill="1" applyBorder="1" applyAlignment="1">
      <alignment horizontal="center" vertical="top" wrapText="1"/>
    </xf>
    <xf numFmtId="0" fontId="26" fillId="3" borderId="1" xfId="0" applyFont="1" applyFill="1" applyBorder="1" applyAlignment="1">
      <alignment horizontal="center"/>
    </xf>
    <xf numFmtId="0" fontId="26" fillId="3" borderId="7" xfId="0" applyFont="1" applyFill="1" applyBorder="1" applyAlignment="1"/>
    <xf numFmtId="0" fontId="26" fillId="3" borderId="0" xfId="0" applyFont="1" applyFill="1" applyBorder="1" applyAlignment="1">
      <alignment horizontal="center" wrapText="1"/>
    </xf>
    <xf numFmtId="166" fontId="26" fillId="3" borderId="1" xfId="4" applyNumberFormat="1" applyFont="1" applyFill="1" applyBorder="1" applyAlignment="1">
      <alignment horizontal="center" vertical="top" wrapText="1"/>
    </xf>
    <xf numFmtId="0" fontId="26" fillId="3" borderId="11" xfId="0" applyFont="1" applyFill="1" applyBorder="1" applyAlignment="1">
      <alignment horizontal="center" vertical="top" wrapText="1"/>
    </xf>
    <xf numFmtId="0" fontId="24" fillId="4" borderId="2" xfId="0" quotePrefix="1" applyFont="1" applyFill="1" applyBorder="1" applyAlignment="1">
      <alignment vertical="top"/>
    </xf>
    <xf numFmtId="0" fontId="29" fillId="4" borderId="2" xfId="0" quotePrefix="1" applyFont="1" applyFill="1" applyBorder="1" applyAlignment="1">
      <alignment vertical="top"/>
    </xf>
    <xf numFmtId="166" fontId="30" fillId="4" borderId="2" xfId="4" quotePrefix="1" applyNumberFormat="1" applyFont="1" applyFill="1" applyBorder="1" applyAlignment="1">
      <alignment horizontal="center" vertical="top"/>
    </xf>
    <xf numFmtId="166" fontId="4" fillId="5" borderId="0" xfId="4" applyNumberFormat="1" applyFont="1" applyFill="1" applyBorder="1" applyAlignment="1">
      <alignment horizontal="center" vertical="top"/>
    </xf>
    <xf numFmtId="17" fontId="4" fillId="5" borderId="0" xfId="3" applyNumberFormat="1" applyFont="1" applyFill="1" applyAlignment="1">
      <alignment horizontal="right" vertical="top" wrapText="1"/>
    </xf>
    <xf numFmtId="166" fontId="4" fillId="5" borderId="0" xfId="4" applyNumberFormat="1" applyFont="1" applyFill="1" applyBorder="1" applyAlignment="1">
      <alignment vertical="top"/>
    </xf>
    <xf numFmtId="0" fontId="4" fillId="5" borderId="0" xfId="0" applyFont="1" applyFill="1" applyBorder="1" applyAlignment="1">
      <alignment horizontal="center" vertical="top" wrapText="1"/>
    </xf>
    <xf numFmtId="0" fontId="24" fillId="4" borderId="4" xfId="0" quotePrefix="1" applyFont="1" applyFill="1" applyBorder="1" applyAlignment="1">
      <alignment vertical="top"/>
    </xf>
    <xf numFmtId="0" fontId="25" fillId="4" borderId="2" xfId="0" quotePrefix="1" applyFont="1" applyFill="1" applyBorder="1" applyAlignment="1">
      <alignment vertical="top"/>
    </xf>
    <xf numFmtId="0" fontId="31" fillId="4" borderId="2" xfId="0" quotePrefix="1" applyFont="1" applyFill="1" applyBorder="1" applyAlignment="1">
      <alignment vertical="top"/>
    </xf>
    <xf numFmtId="0" fontId="32" fillId="4" borderId="2" xfId="0" quotePrefix="1" applyFont="1" applyFill="1" applyBorder="1" applyAlignment="1">
      <alignment vertical="top"/>
    </xf>
    <xf numFmtId="166" fontId="30" fillId="4" borderId="2" xfId="4" quotePrefix="1" applyNumberFormat="1" applyFont="1" applyFill="1" applyBorder="1" applyAlignment="1">
      <alignment vertical="top"/>
    </xf>
    <xf numFmtId="166" fontId="30" fillId="4" borderId="5" xfId="4" quotePrefix="1" applyNumberFormat="1" applyFont="1" applyFill="1" applyBorder="1" applyAlignment="1">
      <alignment horizontal="center" vertical="top"/>
    </xf>
    <xf numFmtId="49" fontId="25" fillId="4" borderId="2" xfId="0" quotePrefix="1" applyNumberFormat="1" applyFont="1" applyFill="1" applyBorder="1" applyAlignment="1">
      <alignment vertical="top"/>
    </xf>
    <xf numFmtId="0" fontId="25" fillId="4" borderId="4" xfId="0" applyFont="1" applyFill="1" applyBorder="1" applyAlignment="1">
      <alignment vertical="top"/>
    </xf>
    <xf numFmtId="0" fontId="25" fillId="4" borderId="2" xfId="0" applyFont="1" applyFill="1" applyBorder="1" applyAlignment="1">
      <alignment vertical="top"/>
    </xf>
    <xf numFmtId="0" fontId="5" fillId="0" borderId="14" xfId="0" applyFont="1" applyFill="1" applyBorder="1"/>
    <xf numFmtId="49" fontId="26" fillId="3" borderId="13" xfId="0" applyNumberFormat="1" applyFont="1" applyFill="1" applyBorder="1" applyAlignment="1">
      <alignment horizontal="center" vertical="top"/>
    </xf>
    <xf numFmtId="49" fontId="26" fillId="3" borderId="14" xfId="0" applyNumberFormat="1" applyFont="1" applyFill="1" applyBorder="1" applyAlignment="1">
      <alignment horizontal="center" vertical="top" wrapText="1"/>
    </xf>
    <xf numFmtId="0" fontId="26" fillId="3" borderId="15" xfId="0" applyFont="1" applyFill="1" applyBorder="1" applyAlignment="1">
      <alignment horizontal="center" vertical="top" wrapText="1"/>
    </xf>
    <xf numFmtId="0" fontId="4" fillId="0" borderId="0" xfId="16" applyFont="1" applyFill="1" applyAlignment="1">
      <alignment horizontal="left"/>
    </xf>
    <xf numFmtId="0" fontId="17" fillId="0" borderId="0" xfId="16" applyFont="1" applyFill="1"/>
    <xf numFmtId="165" fontId="4" fillId="0" borderId="0" xfId="16" quotePrefix="1" applyNumberFormat="1" applyFont="1" applyFill="1" applyAlignment="1">
      <alignment horizontal="left" vertical="center"/>
    </xf>
    <xf numFmtId="165" fontId="4" fillId="0" borderId="0" xfId="16" applyNumberFormat="1" applyFont="1" applyFill="1" applyAlignment="1">
      <alignment vertical="center"/>
    </xf>
    <xf numFmtId="0" fontId="4" fillId="0" borderId="0" xfId="16" applyFill="1"/>
    <xf numFmtId="0" fontId="5" fillId="0" borderId="0" xfId="16" applyFont="1" applyFill="1" applyBorder="1"/>
    <xf numFmtId="0" fontId="5" fillId="0" borderId="0" xfId="16" applyFont="1" applyFill="1" applyBorder="1" applyAlignment="1">
      <alignment horizontal="center" wrapText="1"/>
    </xf>
    <xf numFmtId="0" fontId="13" fillId="0" borderId="3" xfId="16" applyFont="1" applyFill="1" applyBorder="1" applyAlignment="1">
      <alignment vertical="top"/>
    </xf>
    <xf numFmtId="0" fontId="4" fillId="0" borderId="0" xfId="16" applyFont="1" applyFill="1" applyBorder="1"/>
    <xf numFmtId="0" fontId="4" fillId="0" borderId="0" xfId="16" applyFont="1" applyFill="1" applyAlignment="1">
      <alignment vertical="top" wrapText="1"/>
    </xf>
    <xf numFmtId="14" fontId="4" fillId="0" borderId="0" xfId="16" applyNumberFormat="1" applyFont="1" applyFill="1" applyAlignment="1">
      <alignment horizontal="center" vertical="top" wrapText="1"/>
    </xf>
    <xf numFmtId="3" fontId="4" fillId="0" borderId="0" xfId="16" applyNumberFormat="1" applyFont="1" applyFill="1" applyAlignment="1">
      <alignment horizontal="center" vertical="top" wrapText="1"/>
    </xf>
    <xf numFmtId="3" fontId="4" fillId="0" borderId="0" xfId="16" applyNumberFormat="1" applyFont="1" applyFill="1" applyAlignment="1">
      <alignment horizontal="right" vertical="top" wrapText="1"/>
    </xf>
    <xf numFmtId="0" fontId="17" fillId="0" borderId="0" xfId="16" applyFont="1" applyFill="1" applyBorder="1" applyAlignment="1">
      <alignment vertical="top"/>
    </xf>
    <xf numFmtId="0" fontId="5" fillId="0" borderId="0" xfId="16" applyFont="1"/>
    <xf numFmtId="14" fontId="5" fillId="0" borderId="0" xfId="16" applyNumberFormat="1" applyFont="1"/>
    <xf numFmtId="0" fontId="4" fillId="5" borderId="0" xfId="16" applyFont="1" applyFill="1"/>
    <xf numFmtId="0" fontId="4" fillId="5" borderId="0" xfId="16" quotePrefix="1" applyFont="1" applyFill="1" applyAlignment="1">
      <alignment horizontal="left" vertical="top" wrapText="1"/>
    </xf>
    <xf numFmtId="14" fontId="4" fillId="5" borderId="0" xfId="16" applyNumberFormat="1" applyFont="1" applyFill="1" applyAlignment="1">
      <alignment horizontal="center" vertical="top" wrapText="1"/>
    </xf>
    <xf numFmtId="3" fontId="4" fillId="5" borderId="0" xfId="16" applyNumberFormat="1" applyFont="1" applyFill="1" applyAlignment="1">
      <alignment horizontal="right" vertical="top" wrapText="1"/>
    </xf>
    <xf numFmtId="0" fontId="8" fillId="0" borderId="14" xfId="0" applyFont="1" applyFill="1" applyBorder="1" applyAlignment="1">
      <alignment horizontal="right"/>
    </xf>
    <xf numFmtId="0" fontId="4" fillId="0" borderId="0" xfId="0" quotePrefix="1" applyFont="1" applyFill="1" applyAlignment="1">
      <alignment horizontal="left" vertical="center"/>
    </xf>
    <xf numFmtId="0" fontId="33" fillId="0" borderId="0" xfId="16" applyFont="1"/>
    <xf numFmtId="0" fontId="33" fillId="0" borderId="0" xfId="16" applyFont="1" applyFill="1"/>
    <xf numFmtId="0" fontId="33" fillId="0" borderId="0" xfId="0" applyFont="1" applyFill="1" applyAlignment="1"/>
    <xf numFmtId="0" fontId="34" fillId="0" borderId="0" xfId="16" applyFont="1"/>
    <xf numFmtId="0" fontId="33" fillId="6" borderId="0" xfId="16" applyFont="1" applyFill="1"/>
    <xf numFmtId="0" fontId="33" fillId="0" borderId="0" xfId="16" applyFont="1" applyAlignment="1">
      <alignment vertical="center"/>
    </xf>
    <xf numFmtId="0" fontId="33" fillId="0" borderId="0" xfId="16" applyFont="1" applyAlignment="1">
      <alignment vertical="top" wrapText="1"/>
    </xf>
    <xf numFmtId="0" fontId="4" fillId="0" borderId="1" xfId="2" applyFont="1" applyFill="1" applyBorder="1" applyAlignment="1">
      <alignment vertical="top" wrapText="1"/>
    </xf>
    <xf numFmtId="43" fontId="25" fillId="4" borderId="12" xfId="4" applyFont="1" applyFill="1" applyBorder="1" applyAlignment="1">
      <alignment vertical="top"/>
    </xf>
    <xf numFmtId="166" fontId="4" fillId="5" borderId="0" xfId="4" applyNumberFormat="1" applyFont="1" applyFill="1" applyBorder="1" applyAlignment="1">
      <alignment horizontal="right" vertical="top" wrapText="1"/>
    </xf>
    <xf numFmtId="166" fontId="4" fillId="5" borderId="14" xfId="4" applyNumberFormat="1" applyFont="1" applyFill="1" applyBorder="1" applyAlignment="1">
      <alignment horizontal="right" vertical="top" wrapText="1"/>
    </xf>
    <xf numFmtId="166" fontId="4" fillId="5" borderId="14" xfId="4" quotePrefix="1" applyNumberFormat="1" applyFont="1" applyFill="1" applyBorder="1" applyAlignment="1">
      <alignment horizontal="right" vertical="top" wrapText="1"/>
    </xf>
    <xf numFmtId="166" fontId="4" fillId="0" borderId="1" xfId="4" applyNumberFormat="1" applyFont="1" applyFill="1" applyBorder="1" applyAlignment="1">
      <alignment horizontal="right" vertical="top" wrapText="1"/>
    </xf>
    <xf numFmtId="0" fontId="4" fillId="0" borderId="14" xfId="0" applyFont="1" applyFill="1" applyBorder="1" applyAlignment="1">
      <alignment horizontal="right" vertical="top"/>
    </xf>
    <xf numFmtId="0" fontId="4" fillId="0" borderId="15" xfId="0" applyFont="1" applyFill="1" applyBorder="1" applyAlignment="1">
      <alignment horizontal="right" vertical="top"/>
    </xf>
    <xf numFmtId="0" fontId="5" fillId="0" borderId="8" xfId="0" applyFont="1" applyFill="1" applyBorder="1"/>
    <xf numFmtId="0" fontId="14" fillId="5" borderId="0" xfId="2" applyFont="1" applyFill="1" applyBorder="1" applyAlignment="1">
      <alignment horizontal="center" vertical="top"/>
    </xf>
    <xf numFmtId="166" fontId="4" fillId="5" borderId="6" xfId="4" applyNumberFormat="1" applyFont="1" applyFill="1" applyBorder="1" applyAlignment="1">
      <alignment horizontal="center" vertical="top"/>
    </xf>
    <xf numFmtId="0" fontId="4" fillId="0" borderId="8" xfId="0" applyFont="1" applyFill="1" applyBorder="1"/>
    <xf numFmtId="0" fontId="14" fillId="0" borderId="0" xfId="3" applyFont="1" applyFill="1" applyBorder="1" applyAlignment="1">
      <alignment horizontal="center" vertical="top"/>
    </xf>
    <xf numFmtId="166" fontId="4" fillId="0" borderId="6" xfId="4" applyNumberFormat="1" applyFont="1" applyFill="1" applyBorder="1" applyAlignment="1">
      <alignment horizontal="center" vertical="top"/>
    </xf>
    <xf numFmtId="3" fontId="4" fillId="5" borderId="0" xfId="0" applyNumberFormat="1" applyFont="1" applyFill="1" applyBorder="1" applyAlignment="1">
      <alignment horizontal="center" vertical="top" wrapText="1"/>
    </xf>
    <xf numFmtId="0" fontId="4" fillId="0" borderId="8" xfId="0" applyFont="1" applyFill="1" applyBorder="1" applyAlignment="1">
      <alignment vertical="top" wrapText="1"/>
    </xf>
    <xf numFmtId="0" fontId="14" fillId="0" borderId="0" xfId="2" applyFont="1" applyFill="1" applyBorder="1" applyAlignment="1">
      <alignment horizontal="center" vertical="top"/>
    </xf>
    <xf numFmtId="17" fontId="4" fillId="0" borderId="0" xfId="2" applyNumberFormat="1" applyFont="1" applyFill="1" applyBorder="1" applyAlignment="1">
      <alignment horizontal="center" vertical="top" wrapText="1"/>
    </xf>
    <xf numFmtId="17" fontId="4" fillId="5" borderId="0" xfId="2" applyNumberFormat="1" applyFont="1" applyFill="1" applyBorder="1" applyAlignment="1">
      <alignment horizontal="center" vertical="top" wrapText="1"/>
    </xf>
    <xf numFmtId="0" fontId="4" fillId="5" borderId="8" xfId="0" applyFont="1" applyFill="1" applyBorder="1" applyAlignment="1">
      <alignment vertical="top" wrapText="1"/>
    </xf>
    <xf numFmtId="0" fontId="4" fillId="0" borderId="0" xfId="0" quotePrefix="1" applyFont="1" applyFill="1" applyBorder="1" applyAlignment="1">
      <alignment horizontal="center" vertical="top" wrapText="1"/>
    </xf>
    <xf numFmtId="17" fontId="4" fillId="5" borderId="0" xfId="3" applyNumberFormat="1" applyFont="1" applyFill="1" applyBorder="1" applyAlignment="1">
      <alignment horizontal="center" vertical="top" wrapText="1"/>
    </xf>
    <xf numFmtId="0" fontId="4" fillId="5" borderId="8" xfId="0" quotePrefix="1" applyFont="1" applyFill="1" applyBorder="1" applyAlignment="1">
      <alignment horizontal="left" vertical="top" wrapText="1"/>
    </xf>
    <xf numFmtId="0" fontId="4" fillId="0" borderId="8" xfId="0" applyFont="1" applyFill="1" applyBorder="1" applyAlignment="1">
      <alignment horizontal="justify" vertical="top" wrapText="1"/>
    </xf>
    <xf numFmtId="0" fontId="4" fillId="5" borderId="8" xfId="0" applyFont="1" applyFill="1" applyBorder="1" applyAlignment="1">
      <alignment horizontal="justify" vertical="top" wrapText="1"/>
    </xf>
    <xf numFmtId="0" fontId="4" fillId="0" borderId="8" xfId="0" quotePrefix="1" applyFont="1" applyFill="1" applyBorder="1" applyAlignment="1">
      <alignment horizontal="left" vertical="top" wrapText="1"/>
    </xf>
    <xf numFmtId="166" fontId="4" fillId="0" borderId="11" xfId="4" applyNumberFormat="1" applyFont="1" applyFill="1" applyBorder="1" applyAlignment="1">
      <alignment horizontal="center" vertical="top"/>
    </xf>
    <xf numFmtId="0" fontId="4" fillId="0" borderId="0" xfId="2" applyFont="1" applyFill="1" applyBorder="1" applyAlignment="1">
      <alignment horizontal="center" vertical="top"/>
    </xf>
    <xf numFmtId="1" fontId="4" fillId="0" borderId="0" xfId="2" applyNumberFormat="1" applyFont="1" applyFill="1" applyBorder="1" applyAlignment="1">
      <alignment horizontal="center" vertical="top"/>
    </xf>
    <xf numFmtId="3" fontId="4" fillId="0" borderId="0" xfId="2" applyNumberFormat="1" applyFont="1" applyFill="1" applyBorder="1" applyAlignment="1">
      <alignment horizontal="center" vertical="top"/>
    </xf>
    <xf numFmtId="0" fontId="4" fillId="0" borderId="0" xfId="2" applyFont="1" applyFill="1" applyBorder="1" applyAlignment="1">
      <alignment horizontal="center" vertical="top" wrapText="1"/>
    </xf>
    <xf numFmtId="164" fontId="4" fillId="0" borderId="0" xfId="2" applyNumberFormat="1" applyFont="1" applyFill="1" applyBorder="1" applyAlignment="1">
      <alignment horizontal="right" vertical="top" wrapText="1"/>
    </xf>
    <xf numFmtId="0" fontId="4" fillId="0" borderId="8" xfId="2" applyFont="1" applyFill="1" applyBorder="1" applyAlignment="1">
      <alignment vertical="top" wrapText="1"/>
    </xf>
    <xf numFmtId="166" fontId="4" fillId="0" borderId="6" xfId="4" applyNumberFormat="1" applyFont="1" applyFill="1" applyBorder="1" applyAlignment="1">
      <alignment vertical="top"/>
    </xf>
    <xf numFmtId="0" fontId="14" fillId="5" borderId="0" xfId="3" applyFont="1" applyFill="1" applyBorder="1" applyAlignment="1">
      <alignment horizontal="center" vertical="top"/>
    </xf>
    <xf numFmtId="0" fontId="4" fillId="0" borderId="8" xfId="0" applyFont="1" applyFill="1" applyBorder="1" applyAlignment="1">
      <alignment horizontal="left" vertical="top" wrapText="1"/>
    </xf>
    <xf numFmtId="0" fontId="4" fillId="0" borderId="0" xfId="3" applyFont="1" applyFill="1" applyBorder="1" applyAlignment="1">
      <alignment horizontal="center" vertical="top" wrapText="1"/>
    </xf>
    <xf numFmtId="17" fontId="4" fillId="0" borderId="0" xfId="3" applyNumberFormat="1" applyFont="1" applyFill="1" applyBorder="1" applyAlignment="1">
      <alignment horizontal="center" vertical="top" wrapText="1"/>
    </xf>
    <xf numFmtId="0" fontId="4" fillId="0" borderId="8" xfId="3" applyFont="1" applyFill="1" applyBorder="1" applyAlignment="1">
      <alignment vertical="top" wrapText="1"/>
    </xf>
    <xf numFmtId="0" fontId="4" fillId="0" borderId="0" xfId="3" applyFont="1" applyFill="1" applyBorder="1" applyAlignment="1">
      <alignment horizontal="center" vertical="top"/>
    </xf>
    <xf numFmtId="1" fontId="4" fillId="0" borderId="0" xfId="3" applyNumberFormat="1" applyFont="1" applyFill="1" applyBorder="1" applyAlignment="1">
      <alignment horizontal="center" vertical="top"/>
    </xf>
    <xf numFmtId="3" fontId="4" fillId="0" borderId="0" xfId="3" applyNumberFormat="1" applyFont="1" applyFill="1" applyBorder="1" applyAlignment="1">
      <alignment horizontal="center" vertical="top"/>
    </xf>
    <xf numFmtId="164" fontId="4" fillId="0" borderId="0" xfId="3" applyNumberFormat="1" applyFont="1" applyFill="1" applyBorder="1" applyAlignment="1">
      <alignment horizontal="right" vertical="top" wrapText="1"/>
    </xf>
    <xf numFmtId="1" fontId="4" fillId="5" borderId="0" xfId="3" applyNumberFormat="1" applyFont="1" applyFill="1" applyBorder="1" applyAlignment="1">
      <alignment horizontal="center" vertical="top"/>
    </xf>
    <xf numFmtId="3" fontId="4" fillId="5" borderId="0" xfId="3" applyNumberFormat="1" applyFont="1" applyFill="1" applyBorder="1" applyAlignment="1">
      <alignment horizontal="center" vertical="top"/>
    </xf>
    <xf numFmtId="0" fontId="4" fillId="5" borderId="0" xfId="3" applyFont="1" applyFill="1" applyBorder="1" applyAlignment="1">
      <alignment horizontal="center" vertical="top" wrapText="1"/>
    </xf>
    <xf numFmtId="0" fontId="4" fillId="0" borderId="8" xfId="0" applyFont="1" applyFill="1" applyBorder="1" applyAlignment="1">
      <alignment vertical="top"/>
    </xf>
    <xf numFmtId="0" fontId="4" fillId="0" borderId="0" xfId="0" applyFont="1" applyFill="1" applyBorder="1" applyAlignment="1">
      <alignment horizontal="center" vertical="top"/>
    </xf>
    <xf numFmtId="3" fontId="4" fillId="0" borderId="0" xfId="0" applyNumberFormat="1" applyFont="1" applyFill="1" applyBorder="1" applyAlignment="1">
      <alignment horizontal="center" vertical="top"/>
    </xf>
    <xf numFmtId="0" fontId="4" fillId="0" borderId="7" xfId="0" applyFont="1" applyFill="1" applyBorder="1"/>
    <xf numFmtId="166" fontId="26" fillId="3" borderId="7" xfId="4" applyNumberFormat="1" applyFont="1" applyFill="1" applyBorder="1" applyAlignment="1">
      <alignment horizontal="center" vertical="top" wrapText="1"/>
    </xf>
    <xf numFmtId="166" fontId="5" fillId="0" borderId="8" xfId="4" applyNumberFormat="1" applyFont="1" applyFill="1" applyBorder="1" applyAlignment="1">
      <alignment horizontal="center" vertical="top"/>
    </xf>
    <xf numFmtId="166" fontId="4" fillId="0" borderId="9" xfId="4" applyNumberFormat="1" applyFont="1" applyFill="1" applyBorder="1" applyAlignment="1">
      <alignment vertical="top"/>
    </xf>
    <xf numFmtId="0" fontId="4" fillId="0" borderId="1" xfId="0" applyFont="1" applyFill="1" applyBorder="1" applyAlignment="1">
      <alignment horizontal="center" vertical="top" wrapText="1"/>
    </xf>
    <xf numFmtId="3" fontId="4" fillId="0" borderId="1" xfId="0" applyNumberFormat="1" applyFont="1" applyFill="1" applyBorder="1" applyAlignment="1">
      <alignment horizontal="center" vertical="top" wrapText="1"/>
    </xf>
    <xf numFmtId="0" fontId="4" fillId="0" borderId="1" xfId="2" applyFont="1" applyFill="1" applyBorder="1" applyAlignment="1">
      <alignment horizontal="center" vertical="top"/>
    </xf>
    <xf numFmtId="166" fontId="4" fillId="0" borderId="1" xfId="4" applyNumberFormat="1" applyFont="1" applyFill="1" applyBorder="1" applyAlignment="1">
      <alignment horizontal="right"/>
    </xf>
    <xf numFmtId="166" fontId="4" fillId="0" borderId="2" xfId="4" applyNumberFormat="1" applyFont="1" applyFill="1" applyBorder="1" applyAlignment="1">
      <alignment vertical="top"/>
    </xf>
    <xf numFmtId="0" fontId="4" fillId="0" borderId="0" xfId="0" applyFont="1" applyFill="1" applyBorder="1" applyAlignment="1">
      <alignment horizontal="right" vertical="top" wrapText="1"/>
    </xf>
    <xf numFmtId="0" fontId="25" fillId="3" borderId="10" xfId="0" applyFont="1" applyFill="1" applyBorder="1" applyAlignment="1">
      <alignment vertical="top"/>
    </xf>
    <xf numFmtId="0" fontId="26" fillId="3" borderId="8" xfId="0" applyFont="1" applyFill="1" applyBorder="1" applyAlignment="1">
      <alignment horizontal="center" vertical="top"/>
    </xf>
    <xf numFmtId="0" fontId="26" fillId="3" borderId="7" xfId="0" applyFont="1" applyFill="1" applyBorder="1" applyAlignment="1">
      <alignment horizontal="center" vertical="top" wrapText="1"/>
    </xf>
    <xf numFmtId="0" fontId="26" fillId="3" borderId="1" xfId="0" applyFont="1" applyFill="1" applyBorder="1" applyAlignment="1">
      <alignment horizontal="center" vertical="top"/>
    </xf>
    <xf numFmtId="0" fontId="4" fillId="0" borderId="14" xfId="0" applyFont="1" applyFill="1" applyBorder="1" applyAlignment="1">
      <alignment vertical="top" wrapText="1"/>
    </xf>
    <xf numFmtId="0" fontId="4" fillId="0" borderId="0" xfId="2" applyFont="1" applyFill="1" applyBorder="1" applyAlignment="1">
      <alignment vertical="top" wrapText="1"/>
    </xf>
    <xf numFmtId="166" fontId="4" fillId="0" borderId="6" xfId="4" quotePrefix="1" applyNumberFormat="1" applyFont="1" applyFill="1" applyBorder="1" applyAlignment="1">
      <alignment horizontal="right" vertical="top" wrapText="1"/>
    </xf>
    <xf numFmtId="0" fontId="4" fillId="0" borderId="2" xfId="0" applyFont="1" applyFill="1" applyBorder="1" applyAlignment="1">
      <alignment vertical="top"/>
    </xf>
    <xf numFmtId="0" fontId="4" fillId="0" borderId="2" xfId="0" applyFont="1" applyFill="1" applyBorder="1" applyAlignment="1">
      <alignment horizontal="right" vertical="top"/>
    </xf>
    <xf numFmtId="0" fontId="4" fillId="0" borderId="2" xfId="0" applyFont="1" applyFill="1" applyBorder="1" applyAlignment="1">
      <alignment horizontal="center" vertical="top"/>
    </xf>
    <xf numFmtId="166" fontId="4" fillId="0" borderId="14" xfId="4" applyNumberFormat="1" applyFont="1" applyFill="1" applyBorder="1" applyAlignment="1">
      <alignment horizontal="right" vertical="top" wrapText="1"/>
    </xf>
    <xf numFmtId="49" fontId="4" fillId="0" borderId="0" xfId="0" applyNumberFormat="1" applyFont="1" applyAlignment="1">
      <alignment horizontal="right" vertical="top" wrapText="1"/>
    </xf>
    <xf numFmtId="0" fontId="7" fillId="0" borderId="14" xfId="0" applyFont="1" applyFill="1" applyBorder="1" applyAlignment="1">
      <alignment horizontal="right"/>
    </xf>
    <xf numFmtId="0" fontId="30" fillId="4" borderId="4" xfId="0" applyFont="1" applyFill="1" applyBorder="1" applyAlignment="1">
      <alignment vertical="top"/>
    </xf>
    <xf numFmtId="0" fontId="30" fillId="4" borderId="12" xfId="0" applyFont="1" applyFill="1" applyBorder="1" applyAlignment="1">
      <alignment horizontal="right" vertical="top"/>
    </xf>
    <xf numFmtId="49" fontId="30" fillId="4" borderId="2" xfId="0" quotePrefix="1" applyNumberFormat="1" applyFont="1" applyFill="1" applyBorder="1" applyAlignment="1">
      <alignment vertical="top"/>
    </xf>
    <xf numFmtId="0" fontId="35" fillId="4" borderId="2" xfId="0" quotePrefix="1" applyFont="1" applyFill="1" applyBorder="1" applyAlignment="1">
      <alignment vertical="top"/>
    </xf>
    <xf numFmtId="0" fontId="36" fillId="4" borderId="2" xfId="0" quotePrefix="1" applyFont="1" applyFill="1" applyBorder="1" applyAlignment="1">
      <alignment vertical="top"/>
    </xf>
    <xf numFmtId="0" fontId="35" fillId="4" borderId="4" xfId="0" quotePrefix="1" applyFont="1" applyFill="1" applyBorder="1" applyAlignment="1">
      <alignment vertical="top"/>
    </xf>
    <xf numFmtId="166" fontId="30" fillId="4" borderId="12" xfId="4" applyNumberFormat="1" applyFont="1" applyFill="1" applyBorder="1" applyAlignment="1">
      <alignment horizontal="right" vertical="top"/>
    </xf>
    <xf numFmtId="166" fontId="35" fillId="4" borderId="12" xfId="4" quotePrefix="1" applyNumberFormat="1" applyFont="1" applyFill="1" applyBorder="1" applyAlignment="1">
      <alignment horizontal="right" vertical="top"/>
    </xf>
    <xf numFmtId="0" fontId="30" fillId="4" borderId="2" xfId="0" quotePrefix="1" applyFont="1" applyFill="1" applyBorder="1" applyAlignment="1">
      <alignment vertical="top"/>
    </xf>
    <xf numFmtId="0" fontId="38" fillId="4" borderId="2" xfId="0" quotePrefix="1" applyFont="1" applyFill="1" applyBorder="1" applyAlignment="1">
      <alignment vertical="top"/>
    </xf>
    <xf numFmtId="0" fontId="39" fillId="4" borderId="2" xfId="0" quotePrefix="1" applyFont="1" applyFill="1" applyBorder="1" applyAlignment="1">
      <alignment vertical="top"/>
    </xf>
    <xf numFmtId="0" fontId="4" fillId="0" borderId="0" xfId="0" quotePrefix="1" applyFont="1" applyFill="1" applyBorder="1" applyAlignment="1">
      <alignment horizontal="left" vertical="top" wrapText="1"/>
    </xf>
    <xf numFmtId="166" fontId="4" fillId="0" borderId="0" xfId="4" quotePrefix="1" applyNumberFormat="1" applyFont="1" applyFill="1" applyBorder="1" applyAlignment="1">
      <alignment horizontal="right" vertical="top" wrapText="1"/>
    </xf>
    <xf numFmtId="0" fontId="12" fillId="0" borderId="10" xfId="0" quotePrefix="1" applyFont="1" applyFill="1" applyBorder="1" applyAlignment="1">
      <alignment vertical="top"/>
    </xf>
    <xf numFmtId="0" fontId="37" fillId="0" borderId="13" xfId="0" quotePrefix="1" applyFont="1" applyFill="1" applyBorder="1" applyAlignment="1">
      <alignment horizontal="right" vertical="top"/>
    </xf>
    <xf numFmtId="0" fontId="12" fillId="0" borderId="3" xfId="0" quotePrefix="1" applyFont="1" applyFill="1" applyBorder="1" applyAlignment="1">
      <alignment vertical="top"/>
    </xf>
    <xf numFmtId="166" fontId="12" fillId="0" borderId="3" xfId="4" quotePrefix="1" applyNumberFormat="1" applyFont="1" applyFill="1" applyBorder="1" applyAlignment="1">
      <alignment horizontal="center" vertical="top"/>
    </xf>
    <xf numFmtId="166" fontId="12" fillId="0" borderId="9" xfId="4" quotePrefix="1" applyNumberFormat="1" applyFont="1" applyFill="1" applyBorder="1" applyAlignment="1">
      <alignment horizontal="center" vertical="top"/>
    </xf>
    <xf numFmtId="0" fontId="4" fillId="0" borderId="14" xfId="9" quotePrefix="1" applyFont="1" applyFill="1" applyBorder="1" applyAlignment="1">
      <alignment horizontal="right" vertical="top" wrapText="1"/>
    </xf>
    <xf numFmtId="0" fontId="4" fillId="0" borderId="0" xfId="9" quotePrefix="1" applyFont="1" applyFill="1" applyBorder="1" applyAlignment="1">
      <alignment horizontal="center" vertical="top"/>
    </xf>
    <xf numFmtId="0" fontId="4" fillId="0" borderId="0" xfId="9" applyFont="1" applyFill="1" applyBorder="1" applyAlignment="1">
      <alignment horizontal="center" vertical="top" wrapText="1"/>
    </xf>
    <xf numFmtId="3" fontId="4" fillId="0" borderId="0" xfId="9" applyNumberFormat="1" applyFont="1" applyFill="1" applyBorder="1" applyAlignment="1">
      <alignment horizontal="center" vertical="top" wrapText="1"/>
    </xf>
    <xf numFmtId="166" fontId="5" fillId="0" borderId="6" xfId="4" applyNumberFormat="1" applyFont="1" applyFill="1" applyBorder="1" applyAlignment="1">
      <alignment horizontal="center" vertical="top"/>
    </xf>
    <xf numFmtId="0" fontId="17" fillId="5" borderId="0" xfId="16" applyFont="1" applyFill="1" applyAlignment="1">
      <alignment vertical="top"/>
    </xf>
    <xf numFmtId="2" fontId="17" fillId="5" borderId="0" xfId="16" applyNumberFormat="1" applyFont="1" applyFill="1" applyAlignment="1">
      <alignment vertical="top"/>
    </xf>
    <xf numFmtId="2" fontId="4" fillId="5" borderId="0" xfId="16" applyNumberFormat="1" applyFont="1" applyFill="1" applyAlignment="1">
      <alignment horizontal="center" vertical="top"/>
    </xf>
    <xf numFmtId="3" fontId="4" fillId="5" borderId="0" xfId="16" quotePrefix="1" applyNumberFormat="1" applyFont="1" applyFill="1" applyAlignment="1">
      <alignment horizontal="right" vertical="top" wrapText="1"/>
    </xf>
    <xf numFmtId="166" fontId="4" fillId="5" borderId="0" xfId="4" quotePrefix="1" applyNumberFormat="1" applyFont="1" applyFill="1" applyBorder="1" applyAlignment="1">
      <alignment horizontal="right" vertical="top" wrapText="1"/>
    </xf>
    <xf numFmtId="0" fontId="4" fillId="7" borderId="0" xfId="0" applyFont="1" applyFill="1" applyBorder="1"/>
    <xf numFmtId="0" fontId="4" fillId="7" borderId="0" xfId="0" applyFont="1" applyFill="1"/>
    <xf numFmtId="166" fontId="4" fillId="0" borderId="5" xfId="4" applyNumberFormat="1" applyFont="1" applyFill="1" applyBorder="1" applyAlignment="1">
      <alignment horizontal="right" vertical="top" wrapText="1"/>
    </xf>
    <xf numFmtId="0" fontId="4" fillId="5" borderId="0" xfId="0" applyFont="1" applyFill="1" applyBorder="1"/>
    <xf numFmtId="0" fontId="4" fillId="5" borderId="0" xfId="3" applyFont="1" applyFill="1" applyBorder="1" applyAlignment="1">
      <alignment horizontal="center" vertical="top"/>
    </xf>
    <xf numFmtId="166" fontId="4" fillId="5" borderId="6" xfId="4" applyNumberFormat="1" applyFont="1" applyFill="1" applyBorder="1" applyAlignment="1">
      <alignment horizontal="right" vertical="top" wrapText="1"/>
    </xf>
    <xf numFmtId="0" fontId="26" fillId="0" borderId="0" xfId="0" applyFont="1" applyFill="1" applyBorder="1" applyAlignment="1">
      <alignment horizontal="center" wrapText="1"/>
    </xf>
    <xf numFmtId="0" fontId="4" fillId="0" borderId="0" xfId="0" applyFont="1" applyFill="1" applyBorder="1" applyAlignment="1">
      <alignment horizontal="right"/>
    </xf>
    <xf numFmtId="166" fontId="28" fillId="4" borderId="5" xfId="4" quotePrefix="1" applyNumberFormat="1" applyFont="1" applyFill="1" applyBorder="1" applyAlignment="1">
      <alignment horizontal="center" vertical="top"/>
    </xf>
    <xf numFmtId="0" fontId="40" fillId="4" borderId="2" xfId="0" quotePrefix="1" applyFont="1" applyFill="1" applyBorder="1" applyAlignment="1">
      <alignment vertical="top"/>
    </xf>
    <xf numFmtId="166" fontId="28" fillId="4" borderId="2" xfId="4" quotePrefix="1" applyNumberFormat="1" applyFont="1" applyFill="1" applyBorder="1" applyAlignment="1">
      <alignment horizontal="center" vertical="top"/>
    </xf>
    <xf numFmtId="0" fontId="40" fillId="4" borderId="5" xfId="0" quotePrefix="1" applyFont="1" applyFill="1" applyBorder="1" applyAlignment="1">
      <alignment vertical="top"/>
    </xf>
    <xf numFmtId="0" fontId="26" fillId="3" borderId="9" xfId="0" applyFont="1" applyFill="1" applyBorder="1" applyAlignment="1">
      <alignment horizontal="center"/>
    </xf>
    <xf numFmtId="0" fontId="26" fillId="3" borderId="6" xfId="0" applyFont="1" applyFill="1" applyBorder="1" applyAlignment="1">
      <alignment horizontal="center" wrapText="1"/>
    </xf>
    <xf numFmtId="0" fontId="28" fillId="3" borderId="11" xfId="0" applyFont="1" applyFill="1" applyBorder="1" applyAlignment="1">
      <alignment horizontal="center" vertical="top" wrapText="1"/>
    </xf>
    <xf numFmtId="0" fontId="5" fillId="0" borderId="6" xfId="0" applyFont="1" applyFill="1" applyBorder="1" applyAlignment="1">
      <alignment horizontal="center"/>
    </xf>
    <xf numFmtId="0" fontId="24" fillId="4" borderId="5" xfId="0" quotePrefix="1" applyFont="1" applyFill="1" applyBorder="1" applyAlignment="1">
      <alignment vertical="top"/>
    </xf>
    <xf numFmtId="0" fontId="4" fillId="0" borderId="6" xfId="0" applyFont="1" applyFill="1" applyBorder="1" applyAlignment="1">
      <alignment horizontal="right" vertical="top" wrapText="1"/>
    </xf>
    <xf numFmtId="164" fontId="4" fillId="0" borderId="6" xfId="2" applyNumberFormat="1" applyFont="1" applyFill="1" applyBorder="1" applyAlignment="1">
      <alignment horizontal="right" vertical="top" wrapText="1"/>
    </xf>
    <xf numFmtId="164" fontId="4" fillId="0" borderId="6" xfId="3" applyNumberFormat="1" applyFont="1" applyFill="1" applyBorder="1" applyAlignment="1">
      <alignment horizontal="right" vertical="top" wrapText="1"/>
    </xf>
    <xf numFmtId="0" fontId="4" fillId="5" borderId="0" xfId="16" applyFont="1" applyFill="1" applyBorder="1" applyAlignment="1">
      <alignment horizontal="center" vertical="top" wrapText="1"/>
    </xf>
    <xf numFmtId="166" fontId="4" fillId="0" borderId="14" xfId="4" quotePrefix="1" applyNumberFormat="1" applyFont="1" applyFill="1" applyBorder="1" applyAlignment="1">
      <alignment horizontal="right" vertical="top" wrapText="1"/>
    </xf>
    <xf numFmtId="166" fontId="4" fillId="0" borderId="15" xfId="4" applyNumberFormat="1" applyFont="1" applyFill="1" applyBorder="1" applyAlignment="1">
      <alignment horizontal="right" vertical="top" wrapText="1"/>
    </xf>
    <xf numFmtId="0" fontId="26" fillId="0" borderId="0" xfId="0" applyFont="1" applyFill="1" applyBorder="1" applyAlignment="1">
      <alignment horizontal="center"/>
    </xf>
    <xf numFmtId="0" fontId="28" fillId="0" borderId="0" xfId="0" applyFont="1" applyFill="1" applyBorder="1" applyAlignment="1">
      <alignment horizontal="center" vertical="top" wrapText="1"/>
    </xf>
    <xf numFmtId="0" fontId="24" fillId="0" borderId="0" xfId="0" quotePrefix="1" applyFont="1" applyFill="1" applyBorder="1" applyAlignment="1">
      <alignment vertical="top"/>
    </xf>
    <xf numFmtId="0" fontId="35" fillId="0" borderId="0" xfId="0" quotePrefix="1" applyFont="1" applyFill="1" applyBorder="1" applyAlignment="1">
      <alignment vertical="top"/>
    </xf>
    <xf numFmtId="0" fontId="12" fillId="0" borderId="0" xfId="0" quotePrefix="1" applyFont="1" applyFill="1" applyBorder="1" applyAlignment="1">
      <alignment vertical="top"/>
    </xf>
    <xf numFmtId="0" fontId="35" fillId="4" borderId="2" xfId="0" quotePrefix="1" applyFont="1" applyFill="1" applyBorder="1" applyAlignment="1">
      <alignment horizontal="center" vertical="top"/>
    </xf>
    <xf numFmtId="0" fontId="12" fillId="0" borderId="3" xfId="0" quotePrefix="1" applyFont="1" applyFill="1" applyBorder="1" applyAlignment="1">
      <alignment horizontal="center" vertical="top"/>
    </xf>
    <xf numFmtId="17" fontId="4" fillId="5" borderId="0" xfId="0" applyNumberFormat="1" applyFont="1" applyFill="1" applyBorder="1" applyAlignment="1">
      <alignment horizontal="center" vertical="top" wrapText="1"/>
    </xf>
    <xf numFmtId="17" fontId="4" fillId="0" borderId="0" xfId="0" applyNumberFormat="1" applyFont="1" applyFill="1" applyBorder="1" applyAlignment="1">
      <alignment horizontal="center" vertical="top" wrapText="1"/>
    </xf>
    <xf numFmtId="2" fontId="4" fillId="0" borderId="0" xfId="2" applyNumberFormat="1" applyFont="1" applyFill="1" applyBorder="1" applyAlignment="1">
      <alignment horizontal="center" vertical="top" wrapText="1"/>
    </xf>
    <xf numFmtId="0" fontId="30" fillId="4" borderId="2" xfId="0" quotePrefix="1" applyFont="1" applyFill="1" applyBorder="1" applyAlignment="1">
      <alignment horizontal="center" vertical="top"/>
    </xf>
    <xf numFmtId="0" fontId="4" fillId="0" borderId="6" xfId="0" applyFont="1" applyFill="1" applyBorder="1" applyAlignment="1">
      <alignment horizontal="right"/>
    </xf>
    <xf numFmtId="0" fontId="35" fillId="4" borderId="2" xfId="0" quotePrefix="1" applyFont="1" applyFill="1" applyBorder="1" applyAlignment="1">
      <alignment horizontal="right" vertical="top"/>
    </xf>
    <xf numFmtId="0" fontId="35" fillId="4" borderId="5" xfId="0" quotePrefix="1" applyFont="1" applyFill="1" applyBorder="1" applyAlignment="1">
      <alignment horizontal="right" vertical="top"/>
    </xf>
    <xf numFmtId="0" fontId="12" fillId="0" borderId="3" xfId="0" quotePrefix="1" applyFont="1" applyFill="1" applyBorder="1" applyAlignment="1">
      <alignment horizontal="right" vertical="top"/>
    </xf>
    <xf numFmtId="0" fontId="12" fillId="0" borderId="9" xfId="0" quotePrefix="1" applyFont="1" applyFill="1" applyBorder="1" applyAlignment="1">
      <alignment horizontal="right" vertical="top"/>
    </xf>
    <xf numFmtId="0" fontId="30" fillId="4" borderId="2" xfId="0" quotePrefix="1" applyFont="1" applyFill="1" applyBorder="1" applyAlignment="1">
      <alignment horizontal="right" vertical="top"/>
    </xf>
    <xf numFmtId="0" fontId="30" fillId="4" borderId="5" xfId="0" quotePrefix="1" applyFont="1" applyFill="1" applyBorder="1" applyAlignment="1">
      <alignment horizontal="right" vertical="top"/>
    </xf>
    <xf numFmtId="3" fontId="4" fillId="0" borderId="3" xfId="0" applyNumberFormat="1" applyFont="1" applyFill="1" applyBorder="1" applyAlignment="1">
      <alignment horizontal="right" vertical="top" wrapText="1"/>
    </xf>
    <xf numFmtId="164" fontId="4" fillId="0" borderId="1" xfId="2" applyNumberFormat="1" applyFont="1" applyFill="1" applyBorder="1" applyAlignment="1">
      <alignment horizontal="right" vertical="top" wrapText="1"/>
    </xf>
    <xf numFmtId="0" fontId="40" fillId="4" borderId="4" xfId="0" quotePrefix="1" applyFont="1" applyFill="1" applyBorder="1" applyAlignment="1">
      <alignment vertical="top"/>
    </xf>
    <xf numFmtId="166" fontId="4" fillId="0" borderId="8" xfId="4" applyNumberFormat="1" applyFont="1" applyFill="1" applyBorder="1" applyAlignment="1">
      <alignment vertical="top"/>
    </xf>
    <xf numFmtId="166" fontId="4" fillId="5" borderId="8" xfId="4" applyNumberFormat="1" applyFont="1" applyFill="1" applyBorder="1" applyAlignment="1">
      <alignment horizontal="center" vertical="top"/>
    </xf>
    <xf numFmtId="166" fontId="4" fillId="0" borderId="8" xfId="4" applyNumberFormat="1" applyFont="1" applyFill="1" applyBorder="1" applyAlignment="1">
      <alignment horizontal="center" vertical="top"/>
    </xf>
    <xf numFmtId="166" fontId="12" fillId="0" borderId="10" xfId="4" quotePrefix="1" applyNumberFormat="1" applyFont="1" applyFill="1" applyBorder="1" applyAlignment="1">
      <alignment horizontal="center" vertical="top"/>
    </xf>
    <xf numFmtId="166" fontId="4" fillId="0" borderId="7" xfId="4" applyNumberFormat="1" applyFont="1" applyFill="1" applyBorder="1" applyAlignment="1">
      <alignment horizontal="center" vertical="top"/>
    </xf>
    <xf numFmtId="17" fontId="5" fillId="0" borderId="0" xfId="3" applyNumberFormat="1" applyFont="1" applyFill="1" applyBorder="1" applyAlignment="1">
      <alignment horizontal="center" vertical="top" wrapText="1"/>
    </xf>
    <xf numFmtId="166" fontId="5" fillId="0" borderId="0" xfId="4" applyNumberFormat="1" applyFont="1" applyFill="1" applyBorder="1" applyAlignment="1">
      <alignment horizontal="right" vertical="top" wrapText="1"/>
    </xf>
    <xf numFmtId="17" fontId="5" fillId="0" borderId="0" xfId="2" applyNumberFormat="1" applyFont="1" applyFill="1" applyBorder="1" applyAlignment="1">
      <alignment horizontal="center" vertical="top" wrapText="1"/>
    </xf>
    <xf numFmtId="165" fontId="4" fillId="0" borderId="0" xfId="0" applyNumberFormat="1" applyFont="1" applyFill="1" applyAlignment="1">
      <alignment vertical="center"/>
    </xf>
    <xf numFmtId="0" fontId="4" fillId="5" borderId="14" xfId="0" applyFont="1" applyFill="1" applyBorder="1" applyAlignment="1">
      <alignment vertical="top" wrapText="1"/>
    </xf>
    <xf numFmtId="0" fontId="0" fillId="0" borderId="0" xfId="0" applyAlignment="1">
      <alignment vertical="top"/>
    </xf>
    <xf numFmtId="165" fontId="46" fillId="0" borderId="0" xfId="0" applyNumberFormat="1" applyFont="1" applyFill="1" applyAlignment="1">
      <alignment horizontal="left" vertical="center"/>
    </xf>
    <xf numFmtId="0" fontId="30" fillId="0" borderId="10" xfId="0" applyFont="1" applyFill="1" applyBorder="1" applyAlignment="1">
      <alignment vertical="top"/>
    </xf>
    <xf numFmtId="166" fontId="30" fillId="0" borderId="13" xfId="4" applyNumberFormat="1" applyFont="1" applyFill="1" applyBorder="1" applyAlignment="1">
      <alignment horizontal="right" vertical="top"/>
    </xf>
    <xf numFmtId="49" fontId="30" fillId="0" borderId="3" xfId="0" quotePrefix="1" applyNumberFormat="1" applyFont="1" applyFill="1" applyBorder="1" applyAlignment="1">
      <alignment vertical="top"/>
    </xf>
    <xf numFmtId="0" fontId="35" fillId="0" borderId="3" xfId="0" quotePrefix="1" applyFont="1" applyFill="1" applyBorder="1" applyAlignment="1">
      <alignment vertical="top"/>
    </xf>
    <xf numFmtId="0" fontId="36" fillId="0" borderId="3" xfId="0" quotePrefix="1" applyFont="1" applyFill="1" applyBorder="1" applyAlignment="1">
      <alignment vertical="top"/>
    </xf>
    <xf numFmtId="0" fontId="35" fillId="0" borderId="3" xfId="0" quotePrefix="1" applyFont="1" applyFill="1" applyBorder="1" applyAlignment="1">
      <alignment horizontal="center" vertical="top"/>
    </xf>
    <xf numFmtId="166" fontId="4" fillId="5" borderId="0" xfId="4" applyNumberFormat="1" applyFont="1" applyFill="1" applyBorder="1" applyAlignment="1">
      <alignment horizontal="right" wrapText="1"/>
    </xf>
    <xf numFmtId="0" fontId="35" fillId="4" borderId="2" xfId="0" quotePrefix="1" applyFont="1" applyFill="1" applyBorder="1" applyAlignment="1">
      <alignment horizontal="right" vertical="top" wrapText="1"/>
    </xf>
    <xf numFmtId="0" fontId="35" fillId="4" borderId="5" xfId="0" quotePrefix="1" applyFont="1" applyFill="1" applyBorder="1" applyAlignment="1">
      <alignment horizontal="right" vertical="top" wrapText="1"/>
    </xf>
    <xf numFmtId="0" fontId="35" fillId="0" borderId="3" xfId="0" quotePrefix="1" applyFont="1" applyFill="1" applyBorder="1" applyAlignment="1">
      <alignment horizontal="right" vertical="top" wrapText="1"/>
    </xf>
    <xf numFmtId="0" fontId="35" fillId="0" borderId="9" xfId="0" quotePrefix="1" applyFont="1" applyFill="1" applyBorder="1" applyAlignment="1">
      <alignment horizontal="right" vertical="top" wrapText="1"/>
    </xf>
    <xf numFmtId="0" fontId="30" fillId="4" borderId="5" xfId="0" quotePrefix="1" applyFont="1" applyFill="1" applyBorder="1" applyAlignment="1">
      <alignment horizontal="right" vertical="top" wrapText="1"/>
    </xf>
    <xf numFmtId="166" fontId="4" fillId="5" borderId="15" xfId="4" quotePrefix="1" applyNumberFormat="1" applyFont="1" applyFill="1" applyBorder="1" applyAlignment="1">
      <alignment horizontal="right" vertical="top" wrapText="1"/>
    </xf>
    <xf numFmtId="0" fontId="4" fillId="5" borderId="1" xfId="0" applyFont="1" applyFill="1" applyBorder="1" applyAlignment="1">
      <alignment horizontal="center" vertical="top" wrapText="1"/>
    </xf>
    <xf numFmtId="3" fontId="4" fillId="5" borderId="1" xfId="0" applyNumberFormat="1" applyFont="1" applyFill="1" applyBorder="1" applyAlignment="1">
      <alignment horizontal="center" vertical="top" wrapText="1"/>
    </xf>
    <xf numFmtId="166" fontId="4" fillId="5" borderId="1" xfId="4" applyNumberFormat="1" applyFont="1" applyFill="1" applyBorder="1" applyAlignment="1">
      <alignment horizontal="right" vertical="top" wrapText="1"/>
    </xf>
    <xf numFmtId="166" fontId="4" fillId="5" borderId="11" xfId="4" applyNumberFormat="1" applyFont="1" applyFill="1" applyBorder="1" applyAlignment="1">
      <alignment horizontal="right" vertical="top" wrapText="1"/>
    </xf>
    <xf numFmtId="166" fontId="12" fillId="0" borderId="0" xfId="4" quotePrefix="1" applyNumberFormat="1" applyFont="1" applyFill="1" applyBorder="1" applyAlignment="1">
      <alignment horizontal="center" vertical="top"/>
    </xf>
    <xf numFmtId="0" fontId="4" fillId="5" borderId="8" xfId="0" applyFont="1" applyFill="1" applyBorder="1"/>
    <xf numFmtId="0" fontId="4" fillId="5" borderId="0" xfId="0" applyFont="1" applyFill="1" applyBorder="1" applyAlignment="1">
      <alignment horizontal="center"/>
    </xf>
    <xf numFmtId="3" fontId="4" fillId="5" borderId="6" xfId="0" applyNumberFormat="1" applyFont="1" applyFill="1" applyBorder="1" applyAlignment="1">
      <alignment horizontal="right" vertical="top" wrapText="1"/>
    </xf>
    <xf numFmtId="0" fontId="4" fillId="5" borderId="8" xfId="0" applyFont="1" applyFill="1" applyBorder="1" applyAlignment="1">
      <alignment horizontal="left" vertical="top" wrapText="1"/>
    </xf>
    <xf numFmtId="0" fontId="4" fillId="5" borderId="6" xfId="0" applyFont="1" applyFill="1" applyBorder="1" applyAlignment="1">
      <alignment horizontal="right" vertical="top" wrapText="1"/>
    </xf>
    <xf numFmtId="0" fontId="4" fillId="5" borderId="14" xfId="0" applyFont="1" applyFill="1" applyBorder="1" applyAlignment="1">
      <alignment horizontal="right" vertical="top" wrapText="1"/>
    </xf>
    <xf numFmtId="17" fontId="4" fillId="5" borderId="0" xfId="3" quotePrefix="1" applyNumberFormat="1" applyFont="1" applyFill="1" applyBorder="1" applyAlignment="1">
      <alignment horizontal="center" vertical="top" wrapText="1"/>
    </xf>
    <xf numFmtId="0" fontId="14" fillId="5" borderId="1" xfId="2" applyFont="1" applyFill="1" applyBorder="1" applyAlignment="1">
      <alignment horizontal="center" vertical="top"/>
    </xf>
    <xf numFmtId="17" fontId="4" fillId="5" borderId="1" xfId="2" applyNumberFormat="1" applyFont="1" applyFill="1" applyBorder="1" applyAlignment="1">
      <alignment horizontal="center" vertical="top" wrapText="1"/>
    </xf>
    <xf numFmtId="3" fontId="4" fillId="5" borderId="0" xfId="3" applyNumberFormat="1" applyFont="1" applyFill="1" applyBorder="1" applyAlignment="1">
      <alignment horizontal="right" vertical="top" wrapText="1"/>
    </xf>
    <xf numFmtId="3" fontId="4" fillId="5" borderId="6" xfId="3" applyNumberFormat="1" applyFont="1" applyFill="1" applyBorder="1" applyAlignment="1">
      <alignment horizontal="right" vertical="top" wrapText="1"/>
    </xf>
    <xf numFmtId="166" fontId="4" fillId="0" borderId="8" xfId="4" quotePrefix="1" applyNumberFormat="1" applyFont="1" applyFill="1" applyBorder="1" applyAlignment="1">
      <alignment vertical="top"/>
    </xf>
    <xf numFmtId="0" fontId="17" fillId="0" borderId="0" xfId="0" applyFont="1" applyAlignment="1">
      <alignment horizontal="left" vertical="top" wrapText="1"/>
    </xf>
    <xf numFmtId="17" fontId="4" fillId="0" borderId="1" xfId="3" applyNumberFormat="1" applyFont="1" applyFill="1" applyBorder="1" applyAlignment="1">
      <alignment horizontal="center" vertical="top" wrapText="1"/>
    </xf>
    <xf numFmtId="166" fontId="12" fillId="0" borderId="8" xfId="4" quotePrefix="1" applyNumberFormat="1" applyFont="1" applyFill="1" applyBorder="1" applyAlignment="1">
      <alignment horizontal="center" vertical="top"/>
    </xf>
    <xf numFmtId="166" fontId="12" fillId="0" borderId="6" xfId="4" quotePrefix="1" applyNumberFormat="1" applyFont="1" applyFill="1" applyBorder="1" applyAlignment="1">
      <alignment horizontal="center" vertical="top"/>
    </xf>
    <xf numFmtId="166" fontId="4" fillId="5" borderId="7" xfId="4" applyNumberFormat="1" applyFont="1" applyFill="1" applyBorder="1" applyAlignment="1">
      <alignment horizontal="center" vertical="top"/>
    </xf>
    <xf numFmtId="166" fontId="4" fillId="5" borderId="1" xfId="4" applyNumberFormat="1" applyFont="1" applyFill="1" applyBorder="1" applyAlignment="1">
      <alignment horizontal="center" vertical="top"/>
    </xf>
    <xf numFmtId="166" fontId="4" fillId="5" borderId="11" xfId="4" applyNumberFormat="1" applyFont="1" applyFill="1" applyBorder="1" applyAlignment="1">
      <alignment horizontal="center" vertical="top"/>
    </xf>
    <xf numFmtId="0" fontId="4" fillId="5" borderId="0" xfId="16" applyFont="1" applyFill="1" applyAlignment="1">
      <alignment horizontal="left" vertical="top" wrapText="1"/>
    </xf>
    <xf numFmtId="0" fontId="4" fillId="0" borderId="0" xfId="16" applyFont="1" applyFill="1" applyAlignment="1">
      <alignment horizontal="left" vertical="top" wrapText="1"/>
    </xf>
    <xf numFmtId="0" fontId="17" fillId="0" borderId="0" xfId="16" applyFont="1" applyFill="1" applyAlignment="1">
      <alignment vertical="top"/>
    </xf>
    <xf numFmtId="2" fontId="17" fillId="0" borderId="0" xfId="16" applyNumberFormat="1" applyFont="1" applyFill="1" applyAlignment="1">
      <alignment vertical="top"/>
    </xf>
    <xf numFmtId="2" fontId="4" fillId="0" borderId="0" xfId="16" applyNumberFormat="1" applyFont="1" applyFill="1" applyAlignment="1">
      <alignment horizontal="center" vertical="top"/>
    </xf>
    <xf numFmtId="3" fontId="4" fillId="0" borderId="0" xfId="16" quotePrefix="1" applyNumberFormat="1" applyFont="1" applyFill="1" applyAlignment="1">
      <alignment horizontal="right" vertical="top" wrapText="1"/>
    </xf>
    <xf numFmtId="166" fontId="4" fillId="0" borderId="0" xfId="4" applyNumberFormat="1" applyFont="1" applyFill="1" applyBorder="1" applyAlignment="1">
      <alignment horizontal="right" vertical="top"/>
    </xf>
    <xf numFmtId="0" fontId="4" fillId="5" borderId="0" xfId="0" applyFont="1" applyFill="1"/>
    <xf numFmtId="166" fontId="4" fillId="0" borderId="15" xfId="4" quotePrefix="1" applyNumberFormat="1" applyFont="1" applyFill="1" applyBorder="1" applyAlignment="1">
      <alignment horizontal="right" vertical="top" wrapText="1"/>
    </xf>
    <xf numFmtId="17" fontId="5" fillId="0" borderId="1" xfId="3" applyNumberFormat="1" applyFont="1" applyFill="1" applyBorder="1" applyAlignment="1">
      <alignment horizontal="center" vertical="top" wrapText="1"/>
    </xf>
    <xf numFmtId="166" fontId="4" fillId="0" borderId="11" xfId="4" applyNumberFormat="1" applyFont="1" applyFill="1" applyBorder="1" applyAlignment="1">
      <alignment horizontal="right" vertical="top" wrapText="1"/>
    </xf>
    <xf numFmtId="166" fontId="5" fillId="0" borderId="1" xfId="4" applyNumberFormat="1" applyFont="1" applyFill="1" applyBorder="1" applyAlignment="1">
      <alignment horizontal="right" vertical="top" wrapText="1"/>
    </xf>
    <xf numFmtId="17" fontId="4" fillId="0" borderId="0" xfId="3" quotePrefix="1" applyNumberFormat="1" applyFont="1" applyFill="1" applyBorder="1" applyAlignment="1">
      <alignment horizontal="center" vertical="top" wrapText="1"/>
    </xf>
    <xf numFmtId="0" fontId="4" fillId="0" borderId="0" xfId="0" applyFont="1" applyFill="1" applyBorder="1" applyAlignment="1">
      <alignment horizontal="center"/>
    </xf>
    <xf numFmtId="0" fontId="4" fillId="0" borderId="0" xfId="16" applyFont="1" applyFill="1" applyBorder="1" applyAlignment="1">
      <alignment horizontal="center" vertical="top" wrapText="1"/>
    </xf>
    <xf numFmtId="0" fontId="3" fillId="0" borderId="14" xfId="0" quotePrefix="1" applyFont="1" applyFill="1" applyBorder="1" applyAlignment="1">
      <alignment horizontal="left" vertical="top" wrapText="1"/>
    </xf>
    <xf numFmtId="0" fontId="5" fillId="0" borderId="8" xfId="0" applyFont="1" applyFill="1" applyBorder="1" applyAlignment="1">
      <alignment horizontal="justify" vertical="top" wrapText="1"/>
    </xf>
    <xf numFmtId="17" fontId="4" fillId="0" borderId="0" xfId="0" applyNumberFormat="1" applyFont="1" applyFill="1" applyBorder="1" applyAlignment="1">
      <alignment horizontal="center" vertical="top"/>
    </xf>
    <xf numFmtId="0" fontId="5" fillId="0" borderId="8" xfId="0" applyFont="1" applyFill="1" applyBorder="1" applyAlignment="1">
      <alignment vertical="top" wrapText="1"/>
    </xf>
    <xf numFmtId="0" fontId="4" fillId="0" borderId="8" xfId="0" applyFont="1" applyFill="1" applyBorder="1" applyAlignment="1">
      <alignment horizontal="center" vertical="top"/>
    </xf>
    <xf numFmtId="0" fontId="5" fillId="5" borderId="8" xfId="17" quotePrefix="1" applyFont="1" applyFill="1" applyBorder="1" applyAlignment="1">
      <alignment horizontal="left" vertical="top" wrapText="1"/>
    </xf>
    <xf numFmtId="0" fontId="4" fillId="5" borderId="0" xfId="17" quotePrefix="1" applyFont="1" applyFill="1" applyBorder="1" applyAlignment="1">
      <alignment horizontal="center" vertical="top"/>
    </xf>
    <xf numFmtId="0" fontId="4" fillId="5" borderId="0" xfId="17" applyFont="1" applyFill="1" applyBorder="1" applyAlignment="1">
      <alignment horizontal="center" vertical="top" wrapText="1"/>
    </xf>
    <xf numFmtId="3" fontId="4" fillId="5" borderId="0" xfId="17" applyNumberFormat="1" applyFont="1" applyFill="1" applyBorder="1" applyAlignment="1">
      <alignment horizontal="center" vertical="top" wrapText="1"/>
    </xf>
    <xf numFmtId="17" fontId="5" fillId="5" borderId="0" xfId="3" applyNumberFormat="1" applyFont="1" applyFill="1" applyBorder="1" applyAlignment="1">
      <alignment horizontal="center" vertical="top" wrapText="1"/>
    </xf>
    <xf numFmtId="0" fontId="4" fillId="5" borderId="8" xfId="17" quotePrefix="1" applyFont="1" applyFill="1" applyBorder="1" applyAlignment="1">
      <alignment horizontal="left" vertical="top" wrapText="1"/>
    </xf>
    <xf numFmtId="0" fontId="3" fillId="5" borderId="8" xfId="0" applyFont="1" applyFill="1" applyBorder="1" applyAlignment="1">
      <alignment horizontal="justify" vertical="top" wrapText="1"/>
    </xf>
    <xf numFmtId="0" fontId="4" fillId="5" borderId="14" xfId="3" applyFont="1" applyFill="1" applyBorder="1" applyAlignment="1">
      <alignment vertical="top" wrapText="1"/>
    </xf>
    <xf numFmtId="0" fontId="4" fillId="5" borderId="8" xfId="0" applyFont="1" applyFill="1" applyBorder="1" applyAlignment="1">
      <alignment vertical="top"/>
    </xf>
    <xf numFmtId="0" fontId="4" fillId="5" borderId="0" xfId="0" applyFont="1" applyFill="1" applyBorder="1" applyAlignment="1">
      <alignment horizontal="center" vertical="top"/>
    </xf>
    <xf numFmtId="3" fontId="4" fillId="5" borderId="0" xfId="0" applyNumberFormat="1" applyFont="1" applyFill="1" applyBorder="1" applyAlignment="1">
      <alignment horizontal="center" vertical="top"/>
    </xf>
    <xf numFmtId="17" fontId="4" fillId="5" borderId="0" xfId="0" applyNumberFormat="1" applyFont="1" applyFill="1" applyBorder="1" applyAlignment="1">
      <alignment horizontal="center" vertical="top"/>
    </xf>
    <xf numFmtId="0" fontId="3" fillId="0" borderId="8" xfId="0" applyFont="1" applyFill="1" applyBorder="1" applyAlignment="1">
      <alignment vertical="top" wrapText="1"/>
    </xf>
    <xf numFmtId="0" fontId="5" fillId="0" borderId="14" xfId="0" applyFont="1" applyFill="1" applyBorder="1" applyAlignment="1">
      <alignment vertical="top" wrapText="1"/>
    </xf>
    <xf numFmtId="0" fontId="4" fillId="0" borderId="14" xfId="0" quotePrefix="1" applyFont="1" applyFill="1" applyBorder="1" applyAlignment="1">
      <alignment horizontal="left" vertical="top" wrapText="1"/>
    </xf>
    <xf numFmtId="17" fontId="5" fillId="5" borderId="0" xfId="2" applyNumberFormat="1" applyFont="1" applyFill="1" applyBorder="1" applyAlignment="1">
      <alignment horizontal="center" vertical="top" wrapText="1"/>
    </xf>
    <xf numFmtId="166" fontId="5" fillId="5" borderId="0" xfId="4" applyNumberFormat="1" applyFont="1" applyFill="1" applyBorder="1" applyAlignment="1">
      <alignment horizontal="right" vertical="top" wrapText="1"/>
    </xf>
    <xf numFmtId="166" fontId="4" fillId="0" borderId="8" xfId="4" applyNumberFormat="1" applyFont="1" applyFill="1" applyBorder="1" applyAlignment="1">
      <alignment horizontal="right" vertical="top"/>
    </xf>
    <xf numFmtId="166" fontId="4" fillId="0" borderId="6" xfId="4" applyNumberFormat="1" applyFont="1" applyFill="1" applyBorder="1" applyAlignment="1">
      <alignment horizontal="right" vertical="top"/>
    </xf>
    <xf numFmtId="0" fontId="4" fillId="0" borderId="0" xfId="37" applyFont="1" applyFill="1" applyBorder="1" applyAlignment="1">
      <alignment horizontal="center" vertical="top" wrapText="1"/>
    </xf>
    <xf numFmtId="3" fontId="4" fillId="0" borderId="0" xfId="37" applyNumberFormat="1" applyFont="1" applyFill="1" applyBorder="1" applyAlignment="1">
      <alignment horizontal="center" vertical="top" wrapText="1"/>
    </xf>
    <xf numFmtId="0" fontId="5" fillId="5" borderId="8" xfId="0" applyFont="1" applyFill="1" applyBorder="1" applyAlignment="1">
      <alignment vertical="top" wrapText="1"/>
    </xf>
    <xf numFmtId="0" fontId="5" fillId="5" borderId="8" xfId="0" quotePrefix="1" applyFont="1" applyFill="1" applyBorder="1" applyAlignment="1">
      <alignment horizontal="left" vertical="top" wrapText="1"/>
    </xf>
    <xf numFmtId="0" fontId="5" fillId="5" borderId="8" xfId="3" applyFont="1" applyFill="1" applyBorder="1" applyAlignment="1">
      <alignment vertical="top" wrapText="1"/>
    </xf>
    <xf numFmtId="0" fontId="4" fillId="5" borderId="8" xfId="3" applyFont="1" applyFill="1" applyBorder="1" applyAlignment="1">
      <alignment vertical="top" wrapText="1"/>
    </xf>
    <xf numFmtId="0" fontId="4" fillId="5" borderId="0" xfId="38" applyFont="1" applyFill="1" applyBorder="1" applyAlignment="1">
      <alignment horizontal="center" vertical="top" wrapText="1"/>
    </xf>
    <xf numFmtId="3" fontId="4" fillId="5" borderId="0" xfId="38" applyNumberFormat="1" applyFont="1" applyFill="1" applyBorder="1" applyAlignment="1">
      <alignment horizontal="center" vertical="top" wrapText="1"/>
    </xf>
    <xf numFmtId="0" fontId="3" fillId="5" borderId="8" xfId="0" applyFont="1" applyFill="1" applyBorder="1" applyAlignment="1">
      <alignment vertical="top" wrapText="1"/>
    </xf>
    <xf numFmtId="0" fontId="4" fillId="5" borderId="0" xfId="2" applyFont="1" applyFill="1" applyBorder="1" applyAlignment="1">
      <alignment horizontal="center" vertical="top" wrapText="1"/>
    </xf>
    <xf numFmtId="166" fontId="4" fillId="5" borderId="6" xfId="4" quotePrefix="1" applyNumberFormat="1" applyFont="1" applyFill="1" applyBorder="1" applyAlignment="1">
      <alignment horizontal="right" vertical="top" wrapText="1"/>
    </xf>
    <xf numFmtId="0" fontId="4" fillId="5" borderId="0" xfId="39" applyFont="1" applyFill="1" applyBorder="1" applyAlignment="1">
      <alignment horizontal="center" vertical="top" wrapText="1"/>
    </xf>
    <xf numFmtId="0" fontId="4" fillId="5" borderId="6" xfId="0" applyFont="1" applyFill="1" applyBorder="1"/>
    <xf numFmtId="166" fontId="4" fillId="5" borderId="8" xfId="4" quotePrefix="1" applyNumberFormat="1" applyFont="1" applyFill="1" applyBorder="1" applyAlignment="1">
      <alignment vertical="top"/>
    </xf>
    <xf numFmtId="166" fontId="4" fillId="5" borderId="0" xfId="4" quotePrefix="1" applyNumberFormat="1" applyFont="1" applyFill="1" applyBorder="1" applyAlignment="1">
      <alignment vertical="top"/>
    </xf>
    <xf numFmtId="166" fontId="4" fillId="5" borderId="6" xfId="4" applyNumberFormat="1" applyFont="1" applyFill="1" applyBorder="1"/>
    <xf numFmtId="0" fontId="4" fillId="5" borderId="0" xfId="0" applyFont="1" applyFill="1" applyBorder="1" applyAlignment="1">
      <alignment horizontal="right"/>
    </xf>
    <xf numFmtId="0" fontId="18" fillId="0" borderId="0" xfId="16" applyFont="1" applyFill="1" applyBorder="1" applyAlignment="1">
      <alignment vertical="top"/>
    </xf>
    <xf numFmtId="0" fontId="5" fillId="0" borderId="0" xfId="16" applyFont="1" applyFill="1" applyBorder="1"/>
    <xf numFmtId="0" fontId="4" fillId="0" borderId="0" xfId="16" applyFont="1" applyFill="1" applyBorder="1"/>
    <xf numFmtId="14" fontId="4" fillId="0" borderId="0" xfId="16" applyNumberFormat="1" applyFont="1" applyFill="1" applyBorder="1" applyAlignment="1">
      <alignment horizontal="center"/>
    </xf>
    <xf numFmtId="14" fontId="4" fillId="5" borderId="0" xfId="16" applyNumberFormat="1" applyFont="1" applyFill="1" applyAlignment="1">
      <alignment horizontal="center" vertical="top" wrapText="1"/>
    </xf>
    <xf numFmtId="0" fontId="4" fillId="5" borderId="0" xfId="16" applyFont="1" applyFill="1" applyAlignment="1">
      <alignment horizontal="left" vertical="top" wrapText="1"/>
    </xf>
    <xf numFmtId="0" fontId="17" fillId="0" borderId="0" xfId="16" applyFont="1" applyFill="1" applyBorder="1" applyAlignment="1">
      <alignment vertical="top"/>
    </xf>
    <xf numFmtId="0" fontId="24" fillId="4" borderId="4" xfId="16" quotePrefix="1" applyFont="1" applyFill="1" applyBorder="1" applyAlignment="1">
      <alignment vertical="top"/>
    </xf>
    <xf numFmtId="0" fontId="24" fillId="4" borderId="2" xfId="16" quotePrefix="1" applyFont="1" applyFill="1" applyBorder="1" applyAlignment="1">
      <alignment vertical="top"/>
    </xf>
    <xf numFmtId="49" fontId="25" fillId="4" borderId="2" xfId="16" quotePrefix="1" applyNumberFormat="1" applyFont="1" applyFill="1" applyBorder="1" applyAlignment="1">
      <alignment vertical="top"/>
    </xf>
    <xf numFmtId="0" fontId="25" fillId="4" borderId="2" xfId="16" quotePrefix="1" applyFont="1" applyFill="1" applyBorder="1" applyAlignment="1">
      <alignment vertical="top"/>
    </xf>
    <xf numFmtId="0" fontId="31" fillId="4" borderId="2" xfId="16" quotePrefix="1" applyFont="1" applyFill="1" applyBorder="1" applyAlignment="1">
      <alignment vertical="top"/>
    </xf>
    <xf numFmtId="0" fontId="32" fillId="4" borderId="2" xfId="16" quotePrefix="1" applyFont="1" applyFill="1" applyBorder="1" applyAlignment="1">
      <alignment vertical="top"/>
    </xf>
    <xf numFmtId="0" fontId="5" fillId="0" borderId="0" xfId="0" applyFont="1" applyFill="1" applyBorder="1" applyAlignment="1">
      <alignment horizontal="right" vertical="top" wrapText="1"/>
    </xf>
    <xf numFmtId="166" fontId="4" fillId="0" borderId="9" xfId="4" applyNumberFormat="1" applyFont="1" applyFill="1" applyBorder="1" applyAlignment="1">
      <alignment horizontal="center" vertical="top"/>
    </xf>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vertical="top" wrapText="1"/>
    </xf>
    <xf numFmtId="0" fontId="5" fillId="0" borderId="8" xfId="0" applyFont="1" applyFill="1" applyBorder="1" applyAlignment="1">
      <alignment horizontal="left" vertical="top" wrapText="1"/>
    </xf>
    <xf numFmtId="166" fontId="5" fillId="0" borderId="14" xfId="4" applyNumberFormat="1" applyFont="1" applyFill="1" applyBorder="1" applyAlignment="1">
      <alignment horizontal="right" vertical="top" wrapText="1"/>
    </xf>
    <xf numFmtId="0" fontId="5" fillId="7" borderId="0" xfId="0" applyFont="1" applyFill="1" applyBorder="1" applyAlignment="1">
      <alignment horizontal="center" vertical="top" wrapText="1"/>
    </xf>
    <xf numFmtId="17" fontId="5" fillId="7" borderId="0" xfId="2" applyNumberFormat="1" applyFont="1" applyFill="1" applyBorder="1" applyAlignment="1">
      <alignment horizontal="center" vertical="top" wrapText="1"/>
    </xf>
    <xf numFmtId="166" fontId="5" fillId="7" borderId="0" xfId="4" applyNumberFormat="1" applyFont="1" applyFill="1" applyBorder="1" applyAlignment="1">
      <alignment horizontal="right" vertical="top" wrapText="1"/>
    </xf>
    <xf numFmtId="166" fontId="5" fillId="7" borderId="6" xfId="4" applyNumberFormat="1" applyFont="1" applyFill="1" applyBorder="1" applyAlignment="1">
      <alignment horizontal="right" vertical="top" wrapText="1"/>
    </xf>
    <xf numFmtId="166" fontId="4" fillId="7" borderId="14" xfId="4" quotePrefix="1" applyNumberFormat="1" applyFont="1" applyFill="1" applyBorder="1" applyAlignment="1">
      <alignment horizontal="right" vertical="top" wrapText="1"/>
    </xf>
    <xf numFmtId="49" fontId="5" fillId="0" borderId="0" xfId="0" applyNumberFormat="1" applyFont="1" applyAlignment="1">
      <alignment horizontal="right" vertical="top" wrapText="1"/>
    </xf>
    <xf numFmtId="0" fontId="4" fillId="5" borderId="6" xfId="0" applyFont="1" applyFill="1" applyBorder="1" applyAlignment="1">
      <alignment horizontal="right" wrapText="1"/>
    </xf>
    <xf numFmtId="0" fontId="4" fillId="0" borderId="1" xfId="0" applyFont="1" applyFill="1" applyBorder="1" applyAlignment="1">
      <alignment horizontal="center"/>
    </xf>
    <xf numFmtId="166" fontId="4" fillId="0" borderId="1" xfId="4" applyNumberFormat="1" applyFont="1" applyFill="1" applyBorder="1" applyAlignment="1">
      <alignment horizontal="right" wrapText="1"/>
    </xf>
    <xf numFmtId="0" fontId="4" fillId="0" borderId="11" xfId="0" applyFont="1" applyFill="1" applyBorder="1" applyAlignment="1">
      <alignment horizontal="right" wrapText="1"/>
    </xf>
    <xf numFmtId="0" fontId="4" fillId="5" borderId="7" xfId="0" applyFont="1" applyFill="1" applyBorder="1" applyAlignment="1">
      <alignment vertical="top" wrapText="1"/>
    </xf>
    <xf numFmtId="166" fontId="4" fillId="5" borderId="15" xfId="4" applyNumberFormat="1" applyFont="1" applyFill="1" applyBorder="1" applyAlignment="1">
      <alignment horizontal="right" vertical="top" wrapText="1"/>
    </xf>
    <xf numFmtId="3" fontId="4" fillId="5" borderId="1" xfId="0" applyNumberFormat="1" applyFont="1" applyFill="1" applyBorder="1" applyAlignment="1">
      <alignment horizontal="right" vertical="top" wrapText="1"/>
    </xf>
    <xf numFmtId="3" fontId="4" fillId="5" borderId="11" xfId="0" quotePrefix="1" applyNumberFormat="1" applyFont="1" applyFill="1" applyBorder="1" applyAlignment="1">
      <alignment horizontal="right" vertical="top" wrapText="1"/>
    </xf>
    <xf numFmtId="3" fontId="4" fillId="5" borderId="0" xfId="0" quotePrefix="1" applyNumberFormat="1" applyFont="1" applyFill="1" applyBorder="1" applyAlignment="1">
      <alignment horizontal="right" vertical="top" wrapText="1"/>
    </xf>
    <xf numFmtId="0" fontId="4" fillId="5" borderId="14" xfId="0" quotePrefix="1" applyFont="1" applyFill="1" applyBorder="1" applyAlignment="1">
      <alignment horizontal="left" vertical="top" wrapText="1"/>
    </xf>
    <xf numFmtId="3" fontId="4" fillId="5" borderId="0" xfId="0" applyNumberFormat="1" applyFont="1" applyFill="1" applyBorder="1" applyAlignment="1">
      <alignment horizontal="right" vertical="top" wrapText="1"/>
    </xf>
    <xf numFmtId="0" fontId="5" fillId="0" borderId="6" xfId="0" applyFont="1" applyFill="1" applyBorder="1" applyAlignment="1">
      <alignment horizontal="right" vertical="top" wrapText="1"/>
    </xf>
    <xf numFmtId="0" fontId="26" fillId="3" borderId="8" xfId="0" applyFont="1" applyFill="1" applyBorder="1" applyAlignment="1">
      <alignment horizontal="center" vertical="top"/>
    </xf>
    <xf numFmtId="0" fontId="26" fillId="3" borderId="0" xfId="0" applyFont="1" applyFill="1" applyBorder="1" applyAlignment="1">
      <alignment horizontal="center" vertical="top"/>
    </xf>
    <xf numFmtId="0" fontId="5" fillId="0" borderId="0" xfId="0" applyFont="1" applyFill="1" applyBorder="1" applyAlignment="1">
      <alignment vertical="center"/>
    </xf>
    <xf numFmtId="0" fontId="4" fillId="0" borderId="8" xfId="9" quotePrefix="1" applyFont="1" applyFill="1" applyBorder="1" applyAlignment="1">
      <alignment horizontal="left" vertical="top" wrapText="1"/>
    </xf>
    <xf numFmtId="0" fontId="3" fillId="0" borderId="8" xfId="0" quotePrefix="1" applyFont="1" applyFill="1" applyBorder="1" applyAlignment="1">
      <alignment horizontal="left" vertical="top" wrapText="1"/>
    </xf>
    <xf numFmtId="0" fontId="4" fillId="5" borderId="7" xfId="0" quotePrefix="1" applyFont="1" applyFill="1" applyBorder="1" applyAlignment="1">
      <alignment horizontal="left" vertical="top" wrapText="1"/>
    </xf>
    <xf numFmtId="0" fontId="3" fillId="0" borderId="8" xfId="37" applyFont="1" applyFill="1" applyBorder="1" applyAlignment="1">
      <alignment vertical="top" wrapText="1"/>
    </xf>
    <xf numFmtId="0" fontId="4" fillId="5" borderId="8" xfId="38" quotePrefix="1" applyFont="1" applyFill="1" applyBorder="1" applyAlignment="1">
      <alignment horizontal="left" vertical="top" wrapText="1"/>
    </xf>
    <xf numFmtId="166" fontId="4" fillId="7" borderId="6" xfId="4" applyNumberFormat="1" applyFont="1" applyFill="1" applyBorder="1" applyAlignment="1">
      <alignment horizontal="right" vertical="top" wrapText="1"/>
    </xf>
    <xf numFmtId="0" fontId="4" fillId="5" borderId="8" xfId="3" quotePrefix="1" applyFont="1" applyFill="1" applyBorder="1" applyAlignment="1">
      <alignment horizontal="left" vertical="top" wrapText="1"/>
    </xf>
    <xf numFmtId="0" fontId="5" fillId="5" borderId="8" xfId="0" applyFont="1" applyFill="1" applyBorder="1" applyAlignment="1">
      <alignment horizontal="left" vertical="top" wrapText="1"/>
    </xf>
    <xf numFmtId="0" fontId="5" fillId="5" borderId="0" xfId="0" applyFont="1" applyFill="1" applyBorder="1" applyAlignment="1">
      <alignment horizontal="center" vertical="top" wrapText="1"/>
    </xf>
    <xf numFmtId="3" fontId="5" fillId="5" borderId="0" xfId="0" applyNumberFormat="1" applyFont="1" applyFill="1" applyBorder="1" applyAlignment="1">
      <alignment horizontal="center" vertical="top" wrapText="1"/>
    </xf>
    <xf numFmtId="0" fontId="5" fillId="0" borderId="7" xfId="3" applyFont="1" applyFill="1" applyBorder="1" applyAlignment="1">
      <alignment vertical="top" wrapText="1"/>
    </xf>
    <xf numFmtId="166" fontId="5" fillId="0" borderId="11" xfId="4" applyNumberFormat="1" applyFont="1" applyFill="1" applyBorder="1" applyAlignment="1">
      <alignment horizontal="right" vertical="top" wrapText="1"/>
    </xf>
    <xf numFmtId="0" fontId="5" fillId="0" borderId="1" xfId="3" applyFont="1" applyFill="1" applyBorder="1" applyAlignment="1">
      <alignment horizontal="center" vertical="top" wrapText="1"/>
    </xf>
    <xf numFmtId="0" fontId="5" fillId="0" borderId="8" xfId="0" quotePrefix="1" applyFont="1" applyFill="1" applyBorder="1" applyAlignment="1">
      <alignment horizontal="left" vertical="top" wrapText="1"/>
    </xf>
    <xf numFmtId="0" fontId="5" fillId="5" borderId="7" xfId="3" applyFont="1" applyFill="1" applyBorder="1" applyAlignment="1">
      <alignment vertical="top" wrapText="1"/>
    </xf>
    <xf numFmtId="0" fontId="4" fillId="5" borderId="1" xfId="3" applyFont="1" applyFill="1" applyBorder="1" applyAlignment="1">
      <alignment horizontal="center" vertical="top"/>
    </xf>
    <xf numFmtId="1" fontId="4" fillId="5" borderId="1" xfId="3" applyNumberFormat="1" applyFont="1" applyFill="1" applyBorder="1" applyAlignment="1">
      <alignment horizontal="center" vertical="top"/>
    </xf>
    <xf numFmtId="3" fontId="4" fillId="5" borderId="1" xfId="3" applyNumberFormat="1" applyFont="1" applyFill="1" applyBorder="1" applyAlignment="1">
      <alignment horizontal="center" vertical="top"/>
    </xf>
    <xf numFmtId="0" fontId="4" fillId="5" borderId="1" xfId="3" applyFont="1" applyFill="1" applyBorder="1" applyAlignment="1">
      <alignment horizontal="center" vertical="top" wrapText="1"/>
    </xf>
    <xf numFmtId="17" fontId="4" fillId="5" borderId="1" xfId="3" applyNumberFormat="1" applyFont="1" applyFill="1" applyBorder="1" applyAlignment="1">
      <alignment horizontal="center" vertical="top" wrapText="1"/>
    </xf>
    <xf numFmtId="17" fontId="5" fillId="5" borderId="1" xfId="3" applyNumberFormat="1" applyFont="1" applyFill="1" applyBorder="1" applyAlignment="1">
      <alignment horizontal="center" vertical="top" wrapText="1"/>
    </xf>
    <xf numFmtId="166" fontId="4" fillId="5" borderId="7" xfId="4" quotePrefix="1" applyNumberFormat="1" applyFont="1" applyFill="1" applyBorder="1" applyAlignment="1">
      <alignment vertical="top"/>
    </xf>
    <xf numFmtId="166" fontId="4" fillId="5" borderId="1" xfId="4" quotePrefix="1" applyNumberFormat="1" applyFont="1" applyFill="1" applyBorder="1" applyAlignment="1">
      <alignment vertical="top"/>
    </xf>
    <xf numFmtId="166" fontId="4" fillId="5" borderId="11" xfId="4" applyNumberFormat="1" applyFont="1" applyFill="1" applyBorder="1"/>
    <xf numFmtId="166" fontId="4" fillId="0" borderId="1" xfId="4" applyNumberFormat="1" applyFont="1" applyFill="1" applyBorder="1" applyAlignment="1">
      <alignment vertical="top"/>
    </xf>
    <xf numFmtId="166" fontId="5" fillId="0" borderId="7" xfId="4" applyNumberFormat="1" applyFont="1" applyFill="1" applyBorder="1" applyAlignment="1">
      <alignment horizontal="center" vertical="top"/>
    </xf>
    <xf numFmtId="166" fontId="5" fillId="0" borderId="1" xfId="4" applyNumberFormat="1" applyFont="1" applyFill="1" applyBorder="1" applyAlignment="1">
      <alignment horizontal="center" vertical="top"/>
    </xf>
    <xf numFmtId="166" fontId="5" fillId="0" borderId="11" xfId="4" applyNumberFormat="1" applyFont="1" applyFill="1" applyBorder="1" applyAlignment="1">
      <alignment horizontal="center" vertical="top"/>
    </xf>
    <xf numFmtId="166" fontId="4" fillId="0" borderId="2" xfId="4" applyNumberFormat="1" applyFont="1" applyFill="1" applyBorder="1" applyAlignment="1">
      <alignment horizontal="center" vertical="top"/>
    </xf>
    <xf numFmtId="0" fontId="5" fillId="0" borderId="2" xfId="0" applyFont="1" applyFill="1" applyBorder="1" applyAlignment="1">
      <alignment horizontal="center"/>
    </xf>
    <xf numFmtId="0" fontId="5" fillId="0" borderId="7" xfId="0" applyFont="1" applyFill="1" applyBorder="1" applyAlignment="1">
      <alignment horizontal="left" vertical="top" wrapText="1"/>
    </xf>
    <xf numFmtId="0" fontId="5" fillId="0" borderId="1" xfId="0" applyFont="1" applyFill="1" applyBorder="1" applyAlignment="1">
      <alignment horizontal="center" vertical="top" wrapText="1"/>
    </xf>
    <xf numFmtId="0" fontId="14" fillId="0" borderId="1" xfId="3" applyFont="1" applyFill="1" applyBorder="1" applyAlignment="1">
      <alignment horizontal="center" vertical="top"/>
    </xf>
    <xf numFmtId="3" fontId="5" fillId="0" borderId="1" xfId="0" applyNumberFormat="1" applyFont="1" applyFill="1" applyBorder="1" applyAlignment="1">
      <alignment horizontal="center" vertical="top" wrapText="1"/>
    </xf>
    <xf numFmtId="17" fontId="5" fillId="0" borderId="1" xfId="2" applyNumberFormat="1" applyFont="1" applyFill="1" applyBorder="1" applyAlignment="1">
      <alignment horizontal="center" vertical="top" wrapText="1"/>
    </xf>
    <xf numFmtId="0" fontId="5" fillId="0" borderId="7" xfId="0" applyFont="1" applyFill="1" applyBorder="1" applyAlignment="1">
      <alignment vertical="top" wrapText="1"/>
    </xf>
    <xf numFmtId="166" fontId="4" fillId="5" borderId="0" xfId="4" applyNumberFormat="1" applyFont="1" applyFill="1" applyBorder="1"/>
    <xf numFmtId="166" fontId="4" fillId="0" borderId="0" xfId="4" applyNumberFormat="1" applyFont="1" applyFill="1" applyBorder="1"/>
    <xf numFmtId="166" fontId="4" fillId="0" borderId="0" xfId="4" applyNumberFormat="1" applyFont="1" applyFill="1"/>
    <xf numFmtId="166" fontId="4" fillId="5" borderId="0" xfId="4" applyNumberFormat="1" applyFont="1" applyFill="1"/>
    <xf numFmtId="166" fontId="4" fillId="7" borderId="0" xfId="4" applyNumberFormat="1" applyFont="1" applyFill="1"/>
    <xf numFmtId="166" fontId="5" fillId="0" borderId="0" xfId="4" applyNumberFormat="1" applyFont="1" applyFill="1" applyBorder="1"/>
    <xf numFmtId="166" fontId="5" fillId="5" borderId="11" xfId="4" applyNumberFormat="1" applyFont="1" applyFill="1" applyBorder="1" applyAlignment="1">
      <alignment horizontal="center" vertical="top"/>
    </xf>
    <xf numFmtId="0" fontId="5" fillId="5" borderId="7" xfId="0" quotePrefix="1" applyFont="1" applyFill="1" applyBorder="1" applyAlignment="1">
      <alignment horizontal="left" vertical="top" wrapText="1"/>
    </xf>
    <xf numFmtId="166" fontId="4" fillId="9" borderId="0" xfId="4" applyNumberFormat="1" applyFont="1" applyFill="1" applyBorder="1" applyAlignment="1">
      <alignment horizontal="center" vertical="top"/>
    </xf>
    <xf numFmtId="0" fontId="4" fillId="9" borderId="8" xfId="0" quotePrefix="1" applyFont="1" applyFill="1" applyBorder="1" applyAlignment="1">
      <alignment horizontal="left" vertical="top" wrapText="1"/>
    </xf>
    <xf numFmtId="0" fontId="4" fillId="0" borderId="1" xfId="0" applyFont="1" applyFill="1" applyBorder="1" applyAlignment="1">
      <alignment horizontal="right"/>
    </xf>
    <xf numFmtId="43" fontId="25" fillId="4" borderId="4" xfId="4" applyFont="1" applyFill="1" applyBorder="1" applyAlignment="1">
      <alignment vertical="top"/>
    </xf>
    <xf numFmtId="0" fontId="7" fillId="0" borderId="4" xfId="0" applyFont="1" applyFill="1" applyBorder="1" applyAlignment="1">
      <alignment horizontal="right"/>
    </xf>
    <xf numFmtId="0" fontId="30" fillId="4" borderId="4" xfId="0" applyFont="1" applyFill="1" applyBorder="1" applyAlignment="1">
      <alignment horizontal="right" vertical="top"/>
    </xf>
    <xf numFmtId="166" fontId="30" fillId="4" borderId="4" xfId="4" applyNumberFormat="1" applyFont="1" applyFill="1" applyBorder="1" applyAlignment="1">
      <alignment horizontal="right" vertical="top"/>
    </xf>
    <xf numFmtId="166" fontId="35" fillId="4" borderId="4" xfId="4" quotePrefix="1" applyNumberFormat="1" applyFont="1" applyFill="1" applyBorder="1" applyAlignment="1">
      <alignment horizontal="right" vertical="top"/>
    </xf>
    <xf numFmtId="166" fontId="5" fillId="5" borderId="0" xfId="4" applyNumberFormat="1" applyFont="1" applyFill="1" applyBorder="1" applyAlignment="1">
      <alignment horizontal="center" vertical="top"/>
    </xf>
    <xf numFmtId="166" fontId="5" fillId="0" borderId="6" xfId="4" applyNumberFormat="1" applyFont="1" applyFill="1" applyBorder="1" applyAlignment="1">
      <alignment horizontal="right" vertical="top" wrapText="1"/>
    </xf>
    <xf numFmtId="0" fontId="4" fillId="0" borderId="7" xfId="0" quotePrefix="1" applyFont="1" applyFill="1" applyBorder="1" applyAlignment="1">
      <alignment horizontal="left" vertical="top" wrapText="1"/>
    </xf>
    <xf numFmtId="166" fontId="4" fillId="7" borderId="14" xfId="4" applyNumberFormat="1" applyFont="1" applyFill="1" applyBorder="1" applyAlignment="1">
      <alignment horizontal="right" vertical="top" wrapText="1"/>
    </xf>
    <xf numFmtId="0" fontId="4" fillId="7" borderId="0" xfId="0" applyFont="1" applyFill="1" applyBorder="1" applyAlignment="1">
      <alignment horizontal="center" vertical="top" wrapText="1"/>
    </xf>
    <xf numFmtId="3" fontId="4" fillId="7" borderId="0" xfId="0" applyNumberFormat="1" applyFont="1" applyFill="1" applyBorder="1" applyAlignment="1">
      <alignment horizontal="center" vertical="top" wrapText="1"/>
    </xf>
    <xf numFmtId="17" fontId="4" fillId="7" borderId="0" xfId="3" applyNumberFormat="1" applyFont="1" applyFill="1" applyBorder="1" applyAlignment="1">
      <alignment horizontal="center" vertical="top" wrapText="1"/>
    </xf>
    <xf numFmtId="0" fontId="4" fillId="7" borderId="8" xfId="0" applyFont="1" applyFill="1" applyBorder="1" applyAlignment="1">
      <alignment vertical="top" wrapText="1"/>
    </xf>
    <xf numFmtId="166" fontId="4" fillId="7" borderId="8" xfId="4" applyNumberFormat="1" applyFont="1" applyFill="1" applyBorder="1" applyAlignment="1">
      <alignment horizontal="center" vertical="top"/>
    </xf>
    <xf numFmtId="166" fontId="4" fillId="7" borderId="0" xfId="4" applyNumberFormat="1" applyFont="1" applyFill="1" applyBorder="1" applyAlignment="1">
      <alignment horizontal="center" vertical="top"/>
    </xf>
    <xf numFmtId="166" fontId="5" fillId="7" borderId="6" xfId="4" applyNumberFormat="1" applyFont="1" applyFill="1" applyBorder="1" applyAlignment="1">
      <alignment horizontal="center" vertical="top"/>
    </xf>
    <xf numFmtId="166" fontId="5" fillId="7" borderId="0" xfId="4" applyNumberFormat="1" applyFont="1" applyFill="1" applyBorder="1" applyAlignment="1">
      <alignment horizontal="center" vertical="top"/>
    </xf>
    <xf numFmtId="166" fontId="4" fillId="7" borderId="6" xfId="4" applyNumberFormat="1" applyFont="1" applyFill="1" applyBorder="1" applyAlignment="1">
      <alignment horizontal="center" vertical="top"/>
    </xf>
    <xf numFmtId="0" fontId="5" fillId="7" borderId="7" xfId="3" applyFont="1" applyFill="1" applyBorder="1" applyAlignment="1">
      <alignment vertical="top" wrapText="1"/>
    </xf>
    <xf numFmtId="166" fontId="4" fillId="7" borderId="15" xfId="4" applyNumberFormat="1" applyFont="1" applyFill="1" applyBorder="1" applyAlignment="1">
      <alignment horizontal="right" vertical="top" wrapText="1"/>
    </xf>
    <xf numFmtId="0" fontId="4" fillId="7" borderId="1" xfId="0" applyFont="1" applyFill="1" applyBorder="1" applyAlignment="1">
      <alignment horizontal="center" vertical="top" wrapText="1"/>
    </xf>
    <xf numFmtId="3" fontId="4" fillId="7" borderId="1" xfId="0" applyNumberFormat="1" applyFont="1" applyFill="1" applyBorder="1" applyAlignment="1">
      <alignment horizontal="center" vertical="top" wrapText="1"/>
    </xf>
    <xf numFmtId="0" fontId="5" fillId="7" borderId="1" xfId="3" applyFont="1" applyFill="1" applyBorder="1" applyAlignment="1">
      <alignment horizontal="center" vertical="top" wrapText="1"/>
    </xf>
    <xf numFmtId="17" fontId="5" fillId="7" borderId="1" xfId="3" applyNumberFormat="1" applyFont="1" applyFill="1" applyBorder="1" applyAlignment="1">
      <alignment horizontal="center" vertical="top" wrapText="1"/>
    </xf>
    <xf numFmtId="166" fontId="5" fillId="7" borderId="1" xfId="4" applyNumberFormat="1" applyFont="1" applyFill="1" applyBorder="1" applyAlignment="1">
      <alignment horizontal="right" vertical="top" wrapText="1"/>
    </xf>
    <xf numFmtId="166" fontId="5" fillId="7" borderId="11" xfId="4" applyNumberFormat="1" applyFont="1" applyFill="1" applyBorder="1" applyAlignment="1">
      <alignment horizontal="right" vertical="top" wrapText="1"/>
    </xf>
    <xf numFmtId="17" fontId="5" fillId="7" borderId="0" xfId="3" applyNumberFormat="1" applyFont="1" applyFill="1" applyBorder="1" applyAlignment="1">
      <alignment horizontal="center" vertical="top" wrapText="1"/>
    </xf>
    <xf numFmtId="166" fontId="5" fillId="5" borderId="14" xfId="4" applyNumberFormat="1" applyFont="1" applyFill="1" applyBorder="1" applyAlignment="1">
      <alignment horizontal="right" vertical="top" wrapText="1"/>
    </xf>
    <xf numFmtId="166" fontId="5" fillId="0" borderId="15" xfId="4" applyNumberFormat="1" applyFont="1" applyFill="1" applyBorder="1" applyAlignment="1">
      <alignment horizontal="right" vertical="top" wrapText="1"/>
    </xf>
    <xf numFmtId="0" fontId="4" fillId="0" borderId="11" xfId="0" applyFont="1" applyFill="1" applyBorder="1" applyAlignment="1">
      <alignment horizontal="right" vertical="top" wrapText="1"/>
    </xf>
    <xf numFmtId="0" fontId="4" fillId="0" borderId="7" xfId="0" applyFont="1" applyFill="1" applyBorder="1" applyAlignment="1">
      <alignment vertical="top" wrapText="1"/>
    </xf>
    <xf numFmtId="166" fontId="4" fillId="0" borderId="7" xfId="4" applyNumberFormat="1" applyFont="1" applyFill="1" applyBorder="1" applyAlignment="1">
      <alignment horizontal="right" vertical="top" wrapText="1"/>
    </xf>
    <xf numFmtId="166" fontId="4" fillId="0" borderId="1" xfId="4" quotePrefix="1" applyNumberFormat="1" applyFont="1" applyFill="1" applyBorder="1" applyAlignment="1">
      <alignment horizontal="right" vertical="top" wrapText="1"/>
    </xf>
    <xf numFmtId="166" fontId="5" fillId="5" borderId="6" xfId="4" applyNumberFormat="1" applyFont="1" applyFill="1" applyBorder="1" applyAlignment="1">
      <alignment horizontal="center" vertical="top"/>
    </xf>
    <xf numFmtId="166" fontId="4" fillId="5" borderId="1" xfId="4" quotePrefix="1" applyNumberFormat="1" applyFont="1" applyFill="1" applyBorder="1" applyAlignment="1">
      <alignment horizontal="right" vertical="top" wrapText="1"/>
    </xf>
    <xf numFmtId="0" fontId="5" fillId="5" borderId="7" xfId="0" applyFont="1" applyFill="1" applyBorder="1" applyAlignment="1">
      <alignment vertical="top" wrapText="1"/>
    </xf>
    <xf numFmtId="166" fontId="5" fillId="5" borderId="1" xfId="4" applyNumberFormat="1" applyFont="1" applyFill="1" applyBorder="1" applyAlignment="1">
      <alignment horizontal="center" vertical="top"/>
    </xf>
    <xf numFmtId="49" fontId="5" fillId="0" borderId="0" xfId="0" quotePrefix="1" applyNumberFormat="1" applyFont="1" applyAlignment="1">
      <alignment horizontal="right" vertical="top" wrapText="1"/>
    </xf>
    <xf numFmtId="0" fontId="14" fillId="7" borderId="0" xfId="2" applyFont="1" applyFill="1" applyBorder="1" applyAlignment="1">
      <alignment horizontal="center" vertical="top"/>
    </xf>
    <xf numFmtId="17" fontId="4" fillId="7" borderId="0" xfId="2" applyNumberFormat="1" applyFont="1" applyFill="1" applyBorder="1" applyAlignment="1">
      <alignment horizontal="center" vertical="top" wrapText="1"/>
    </xf>
    <xf numFmtId="166" fontId="4" fillId="7" borderId="0" xfId="4" applyNumberFormat="1" applyFont="1" applyFill="1" applyBorder="1" applyAlignment="1">
      <alignment horizontal="right" vertical="top" wrapText="1"/>
    </xf>
    <xf numFmtId="0" fontId="14" fillId="7" borderId="0" xfId="3" applyFont="1" applyFill="1" applyBorder="1" applyAlignment="1">
      <alignment horizontal="center" vertical="top"/>
    </xf>
    <xf numFmtId="166" fontId="5" fillId="0" borderId="11" xfId="4" quotePrefix="1" applyNumberFormat="1" applyFont="1" applyFill="1" applyBorder="1" applyAlignment="1">
      <alignment horizontal="right" vertical="top" wrapText="1"/>
    </xf>
    <xf numFmtId="166" fontId="5" fillId="7" borderId="6" xfId="4" quotePrefix="1" applyNumberFormat="1" applyFont="1" applyFill="1" applyBorder="1" applyAlignment="1">
      <alignment horizontal="right" vertical="top" wrapText="1"/>
    </xf>
    <xf numFmtId="0" fontId="5" fillId="7" borderId="8" xfId="0" applyFont="1" applyFill="1" applyBorder="1" applyAlignment="1">
      <alignment vertical="top" wrapText="1"/>
    </xf>
    <xf numFmtId="0" fontId="5" fillId="7" borderId="14" xfId="0" applyFont="1" applyFill="1" applyBorder="1" applyAlignment="1">
      <alignment vertical="top" wrapText="1"/>
    </xf>
    <xf numFmtId="0" fontId="5" fillId="7" borderId="8" xfId="0" applyFont="1" applyFill="1" applyBorder="1" applyAlignment="1">
      <alignment horizontal="justify" vertical="top" wrapText="1"/>
    </xf>
    <xf numFmtId="0" fontId="5" fillId="7" borderId="14" xfId="0" applyFont="1" applyFill="1" applyBorder="1" applyAlignment="1">
      <alignment horizontal="justify" vertical="top" wrapText="1"/>
    </xf>
    <xf numFmtId="0" fontId="5" fillId="0" borderId="14" xfId="0" quotePrefix="1" applyFont="1" applyFill="1" applyBorder="1" applyAlignment="1">
      <alignment horizontal="left" vertical="top" wrapText="1"/>
    </xf>
    <xf numFmtId="0" fontId="4" fillId="0" borderId="11" xfId="0" quotePrefix="1" applyFont="1" applyFill="1" applyBorder="1" applyAlignment="1">
      <alignment horizontal="left" vertical="top" wrapText="1"/>
    </xf>
    <xf numFmtId="0" fontId="26" fillId="3" borderId="10" xfId="0" applyFont="1" applyFill="1" applyBorder="1" applyAlignment="1">
      <alignment horizontal="center" vertical="top"/>
    </xf>
    <xf numFmtId="0" fontId="26" fillId="3" borderId="3" xfId="0" applyFont="1" applyFill="1" applyBorder="1" applyAlignment="1">
      <alignment horizontal="center" vertical="top"/>
    </xf>
    <xf numFmtId="0" fontId="26" fillId="3" borderId="9" xfId="0" applyFont="1" applyFill="1" applyBorder="1" applyAlignment="1">
      <alignment horizontal="center" vertical="top"/>
    </xf>
    <xf numFmtId="0" fontId="26" fillId="3" borderId="8" xfId="0" applyFont="1" applyFill="1" applyBorder="1" applyAlignment="1">
      <alignment horizontal="center" vertical="top"/>
    </xf>
    <xf numFmtId="0" fontId="26" fillId="3" borderId="0" xfId="0" applyFont="1" applyFill="1" applyBorder="1" applyAlignment="1">
      <alignment horizontal="center" vertical="top"/>
    </xf>
    <xf numFmtId="0" fontId="26" fillId="3" borderId="6" xfId="0" applyFont="1" applyFill="1" applyBorder="1" applyAlignment="1">
      <alignment horizontal="center" vertical="top"/>
    </xf>
    <xf numFmtId="0" fontId="5" fillId="0" borderId="0" xfId="0" quotePrefix="1" applyFont="1" applyFill="1" applyAlignment="1">
      <alignment horizontal="left" vertical="center"/>
    </xf>
    <xf numFmtId="0" fontId="5" fillId="0" borderId="0" xfId="0" applyFont="1" applyFill="1" applyAlignment="1">
      <alignment vertical="center"/>
    </xf>
    <xf numFmtId="0" fontId="5" fillId="0" borderId="0" xfId="0" applyFont="1" applyFill="1" applyBorder="1" applyAlignment="1">
      <alignment vertical="center"/>
    </xf>
    <xf numFmtId="0" fontId="4" fillId="0" borderId="0" xfId="0" applyFont="1" applyFill="1" applyBorder="1" applyAlignment="1">
      <alignment horizontal="left" vertical="top" wrapText="1"/>
    </xf>
    <xf numFmtId="0" fontId="7" fillId="0" borderId="0" xfId="0" applyFont="1" applyFill="1" applyBorder="1" applyAlignment="1">
      <alignment horizontal="left" vertical="top" wrapText="1"/>
    </xf>
    <xf numFmtId="0" fontId="11" fillId="0" borderId="2" xfId="2" applyFont="1" applyFill="1" applyBorder="1" applyAlignment="1">
      <alignment horizontal="left" vertical="top" wrapText="1"/>
    </xf>
    <xf numFmtId="0" fontId="7" fillId="0" borderId="0" xfId="0" quotePrefix="1" applyFont="1" applyFill="1" applyBorder="1" applyAlignment="1">
      <alignment horizontal="left" vertical="top" wrapText="1"/>
    </xf>
    <xf numFmtId="0" fontId="4" fillId="0" borderId="0" xfId="0" applyFont="1" applyFill="1" applyAlignment="1">
      <alignment horizontal="left" vertical="top" wrapText="1"/>
    </xf>
    <xf numFmtId="0" fontId="5" fillId="0" borderId="0" xfId="0" applyFont="1" applyFill="1" applyBorder="1" applyAlignment="1">
      <alignment horizontal="left" vertical="top" wrapText="1"/>
    </xf>
    <xf numFmtId="0" fontId="8" fillId="0" borderId="0" xfId="0" quotePrefix="1" applyFont="1" applyFill="1" applyBorder="1" applyAlignment="1">
      <alignment horizontal="left" vertical="top" wrapText="1"/>
    </xf>
    <xf numFmtId="0" fontId="5" fillId="0" borderId="0" xfId="0" applyFont="1" applyAlignment="1">
      <alignment horizontal="left"/>
    </xf>
    <xf numFmtId="0" fontId="4" fillId="0" borderId="0" xfId="0" applyFont="1" applyFill="1" applyAlignment="1">
      <alignment horizontal="left" wrapText="1"/>
    </xf>
    <xf numFmtId="0" fontId="4" fillId="0" borderId="0" xfId="0" applyFont="1" applyAlignment="1">
      <alignment horizontal="left" vertical="top" wrapText="1"/>
    </xf>
    <xf numFmtId="0" fontId="3" fillId="0" borderId="0" xfId="0" applyFont="1" applyAlignment="1">
      <alignment horizontal="left" vertical="top" wrapText="1"/>
    </xf>
    <xf numFmtId="0" fontId="8" fillId="0" borderId="0" xfId="0" applyFont="1" applyFill="1" applyBorder="1" applyAlignment="1">
      <alignment horizontal="left" vertical="top" wrapText="1"/>
    </xf>
    <xf numFmtId="0" fontId="5" fillId="0" borderId="0" xfId="16" quotePrefix="1" applyFont="1" applyFill="1" applyAlignment="1">
      <alignment horizontal="left" vertical="center"/>
    </xf>
    <xf numFmtId="0" fontId="5" fillId="0" borderId="0" xfId="16" applyFont="1" applyFill="1" applyAlignment="1">
      <alignment vertical="center"/>
    </xf>
    <xf numFmtId="0" fontId="4" fillId="0" borderId="0" xfId="16" applyNumberFormat="1" applyFill="1" applyAlignment="1">
      <alignment wrapText="1"/>
    </xf>
    <xf numFmtId="0" fontId="4" fillId="0" borderId="0" xfId="16" applyFill="1" applyAlignment="1">
      <alignment wrapText="1"/>
    </xf>
    <xf numFmtId="0" fontId="23" fillId="3" borderId="2" xfId="16" applyFont="1" applyFill="1" applyBorder="1" applyAlignment="1">
      <alignment horizontal="center"/>
    </xf>
  </cellXfs>
  <cellStyles count="42">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4" xfId="7"/>
    <cellStyle name="Comma 4 2" xfId="15"/>
    <cellStyle name="Comma 5" xfId="29"/>
    <cellStyle name="Comma 6" xfId="41"/>
    <cellStyle name="Currency 2" xfId="30"/>
    <cellStyle name="Header1" xfId="28"/>
    <cellStyle name="Header2" xfId="26"/>
    <cellStyle name="no dec" xfId="32"/>
    <cellStyle name="Normal" xfId="0" builtinId="0"/>
    <cellStyle name="Normal - Style1" xfId="27"/>
    <cellStyle name="Normal 14" xfId="38"/>
    <cellStyle name="Normal 16" xfId="37"/>
    <cellStyle name="Normal 2" xfId="8"/>
    <cellStyle name="Normal 2 2" xfId="16"/>
    <cellStyle name="Normal 2 3" xfId="22"/>
    <cellStyle name="Normal 3" xfId="9"/>
    <cellStyle name="Normal 3 2" xfId="17"/>
    <cellStyle name="Normal 3 3" xfId="33"/>
    <cellStyle name="Normal 4" xfId="12"/>
    <cellStyle name="Normal 5" xfId="21"/>
    <cellStyle name="Normal 6" xfId="35"/>
    <cellStyle name="Normal 7" xfId="36"/>
    <cellStyle name="Normal 8" xfId="40"/>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DBE5F1"/>
      <color rgb="FFCCFFCC"/>
      <color rgb="FFFFCCFF"/>
      <color rgb="FFFFFF99"/>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 Id="rId11"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4" Type="http://schemas.openxmlformats.org/officeDocument/2006/relationships/image" Target="../media/image4.jpeg"/><Relationship Id="rId5" Type="http://schemas.openxmlformats.org/officeDocument/2006/relationships/image" Target="../media/image5.png"/><Relationship Id="rId1" Type="http://schemas.openxmlformats.org/officeDocument/2006/relationships/image" Target="../media/image1.jpeg"/><Relationship Id="rId2"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6.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Update Summary</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November 18, 2013</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2057400</xdr:colOff>
      <xdr:row>0</xdr:row>
      <xdr:rowOff>485775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28825" cy="447675"/>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OOS%20Comparision%20-%20November.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14 Summary"/>
      <sheetName val="2013"/>
      <sheetName val="2014"/>
      <sheetName val="Sheet2"/>
      <sheetName val="2014 Pull"/>
      <sheetName val="Q3 Actual OOS"/>
      <sheetName val="Q3 Actual OOS (2)"/>
      <sheetName val="October Actual "/>
      <sheetName val="November Actual"/>
      <sheetName val="2013 OOS Days"/>
      <sheetName val="2013-2014 OOS Days (2)"/>
      <sheetName val="Sheet3"/>
      <sheetName val="2013-2014 OOS Days"/>
      <sheetName val="Five Year SYs"/>
      <sheetName val="Five Year"/>
      <sheetName val="Master"/>
      <sheetName val="Fcst Pull"/>
      <sheetName val="Fcst Pull (2)"/>
      <sheetName val="Days &amp; Spend Schedule"/>
      <sheetName val="Sheet1"/>
      <sheetName val="Questions"/>
      <sheetName val="Sheet5"/>
    </sheetNames>
    <sheetDataSet>
      <sheetData sheetId="0" refreshError="1"/>
      <sheetData sheetId="1">
        <row r="4">
          <cell r="B4" t="str">
            <v>Deepwater Champion</v>
          </cell>
          <cell r="C4">
            <v>0</v>
          </cell>
          <cell r="D4">
            <v>0</v>
          </cell>
          <cell r="E4">
            <v>0</v>
          </cell>
          <cell r="F4">
            <v>10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row>
        <row r="5">
          <cell r="B5" t="str">
            <v>Deepwater Discovery</v>
          </cell>
          <cell r="C5">
            <v>0</v>
          </cell>
          <cell r="D5">
            <v>0</v>
          </cell>
          <cell r="E5">
            <v>14</v>
          </cell>
          <cell r="F5">
            <v>0</v>
          </cell>
          <cell r="G5">
            <v>0</v>
          </cell>
          <cell r="H5">
            <v>0</v>
          </cell>
          <cell r="I5">
            <v>52.958333333333329</v>
          </cell>
          <cell r="J5">
            <v>31</v>
          </cell>
          <cell r="K5">
            <v>0</v>
          </cell>
          <cell r="L5">
            <v>0</v>
          </cell>
          <cell r="M5">
            <v>52.958333333333329</v>
          </cell>
          <cell r="N5">
            <v>31</v>
          </cell>
          <cell r="O5">
            <v>0</v>
          </cell>
          <cell r="P5">
            <v>0</v>
          </cell>
          <cell r="Q5">
            <v>52.958333333333329</v>
          </cell>
          <cell r="R5">
            <v>92</v>
          </cell>
          <cell r="S5">
            <v>0</v>
          </cell>
          <cell r="T5">
            <v>0</v>
          </cell>
          <cell r="U5">
            <v>52.958333333333329</v>
          </cell>
          <cell r="V5">
            <v>31</v>
          </cell>
        </row>
        <row r="6">
          <cell r="B6" t="str">
            <v>Discoverer Americas</v>
          </cell>
          <cell r="C6">
            <v>0</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row>
        <row r="7">
          <cell r="B7" t="str">
            <v>Deepwater Pathfinder</v>
          </cell>
          <cell r="C7">
            <v>0</v>
          </cell>
          <cell r="D7">
            <v>0</v>
          </cell>
          <cell r="E7">
            <v>12</v>
          </cell>
          <cell r="F7">
            <v>0</v>
          </cell>
          <cell r="G7">
            <v>0</v>
          </cell>
          <cell r="H7">
            <v>0</v>
          </cell>
          <cell r="I7">
            <v>0</v>
          </cell>
          <cell r="J7">
            <v>7</v>
          </cell>
          <cell r="K7">
            <v>0</v>
          </cell>
          <cell r="L7">
            <v>0</v>
          </cell>
          <cell r="M7">
            <v>0</v>
          </cell>
          <cell r="N7">
            <v>7</v>
          </cell>
          <cell r="O7">
            <v>0</v>
          </cell>
          <cell r="P7">
            <v>0</v>
          </cell>
          <cell r="Q7">
            <v>0</v>
          </cell>
          <cell r="R7">
            <v>0</v>
          </cell>
          <cell r="S7">
            <v>0</v>
          </cell>
          <cell r="T7">
            <v>0</v>
          </cell>
          <cell r="U7">
            <v>0</v>
          </cell>
          <cell r="V7">
            <v>0</v>
          </cell>
        </row>
        <row r="8">
          <cell r="B8" t="str">
            <v>Cajun Express</v>
          </cell>
          <cell r="C8">
            <v>0</v>
          </cell>
          <cell r="D8">
            <v>0</v>
          </cell>
          <cell r="E8">
            <v>0</v>
          </cell>
          <cell r="F8">
            <v>0</v>
          </cell>
          <cell r="G8">
            <v>0</v>
          </cell>
          <cell r="H8">
            <v>1</v>
          </cell>
          <cell r="I8">
            <v>92</v>
          </cell>
          <cell r="J8">
            <v>13</v>
          </cell>
          <cell r="K8">
            <v>0</v>
          </cell>
          <cell r="L8">
            <v>1</v>
          </cell>
          <cell r="M8">
            <v>92</v>
          </cell>
          <cell r="N8">
            <v>13</v>
          </cell>
          <cell r="O8">
            <v>0</v>
          </cell>
          <cell r="P8">
            <v>1</v>
          </cell>
          <cell r="Q8">
            <v>92</v>
          </cell>
          <cell r="R8">
            <v>22.541666666666668</v>
          </cell>
          <cell r="S8">
            <v>0</v>
          </cell>
          <cell r="T8">
            <v>1</v>
          </cell>
          <cell r="U8">
            <v>92</v>
          </cell>
          <cell r="V8">
            <v>22.541666666666668</v>
          </cell>
        </row>
        <row r="9">
          <cell r="B9" t="str">
            <v>Discoverer Deep Seas</v>
          </cell>
          <cell r="C9">
            <v>12</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row>
        <row r="10">
          <cell r="B10" t="str">
            <v>Discoverer India</v>
          </cell>
          <cell r="C10">
            <v>0</v>
          </cell>
          <cell r="D10">
            <v>0</v>
          </cell>
          <cell r="E10">
            <v>0</v>
          </cell>
          <cell r="F10">
            <v>12</v>
          </cell>
          <cell r="G10">
            <v>8</v>
          </cell>
          <cell r="H10">
            <v>0</v>
          </cell>
          <cell r="I10">
            <v>0</v>
          </cell>
          <cell r="J10">
            <v>0</v>
          </cell>
          <cell r="K10">
            <v>8</v>
          </cell>
          <cell r="L10">
            <v>0</v>
          </cell>
          <cell r="M10">
            <v>0</v>
          </cell>
          <cell r="N10">
            <v>0</v>
          </cell>
          <cell r="O10">
            <v>8</v>
          </cell>
          <cell r="P10">
            <v>0</v>
          </cell>
          <cell r="Q10">
            <v>0</v>
          </cell>
          <cell r="R10">
            <v>0</v>
          </cell>
          <cell r="S10">
            <v>8</v>
          </cell>
          <cell r="T10">
            <v>0</v>
          </cell>
          <cell r="U10">
            <v>0</v>
          </cell>
          <cell r="V10">
            <v>0</v>
          </cell>
        </row>
        <row r="11">
          <cell r="B11" t="str">
            <v>Deepwater Millennium</v>
          </cell>
          <cell r="C11">
            <v>0</v>
          </cell>
          <cell r="D11">
            <v>0</v>
          </cell>
          <cell r="E11">
            <v>14</v>
          </cell>
          <cell r="F11">
            <v>0</v>
          </cell>
          <cell r="G11">
            <v>0</v>
          </cell>
          <cell r="H11">
            <v>0</v>
          </cell>
          <cell r="I11">
            <v>15.5</v>
          </cell>
          <cell r="J11">
            <v>92</v>
          </cell>
          <cell r="K11">
            <v>0</v>
          </cell>
          <cell r="L11">
            <v>0</v>
          </cell>
          <cell r="M11">
            <v>15.5</v>
          </cell>
          <cell r="N11">
            <v>92</v>
          </cell>
          <cell r="O11">
            <v>0</v>
          </cell>
          <cell r="P11">
            <v>0</v>
          </cell>
          <cell r="Q11">
            <v>15.5</v>
          </cell>
          <cell r="R11">
            <v>92</v>
          </cell>
          <cell r="S11">
            <v>0</v>
          </cell>
          <cell r="T11">
            <v>0</v>
          </cell>
          <cell r="U11">
            <v>15.5</v>
          </cell>
          <cell r="V11">
            <v>92</v>
          </cell>
        </row>
        <row r="12">
          <cell r="B12" t="str">
            <v>Discoverer Spirit</v>
          </cell>
          <cell r="C12">
            <v>0</v>
          </cell>
          <cell r="D12">
            <v>0</v>
          </cell>
          <cell r="E12">
            <v>7</v>
          </cell>
          <cell r="F12">
            <v>0</v>
          </cell>
          <cell r="G12">
            <v>0</v>
          </cell>
          <cell r="H12">
            <v>0</v>
          </cell>
          <cell r="I12">
            <v>0</v>
          </cell>
          <cell r="J12">
            <v>7</v>
          </cell>
          <cell r="K12">
            <v>0</v>
          </cell>
          <cell r="L12">
            <v>0</v>
          </cell>
          <cell r="M12">
            <v>0</v>
          </cell>
          <cell r="N12">
            <v>7</v>
          </cell>
          <cell r="O12">
            <v>0</v>
          </cell>
          <cell r="P12">
            <v>0</v>
          </cell>
          <cell r="Q12">
            <v>0</v>
          </cell>
          <cell r="R12">
            <v>0</v>
          </cell>
          <cell r="S12">
            <v>0</v>
          </cell>
          <cell r="T12">
            <v>0</v>
          </cell>
          <cell r="U12">
            <v>0</v>
          </cell>
          <cell r="V12">
            <v>0</v>
          </cell>
        </row>
        <row r="13">
          <cell r="B13" t="str">
            <v>GSF C.R. Luigs</v>
          </cell>
          <cell r="C13">
            <v>0</v>
          </cell>
          <cell r="D13">
            <v>10</v>
          </cell>
          <cell r="E13">
            <v>0</v>
          </cell>
          <cell r="F13">
            <v>0</v>
          </cell>
          <cell r="G13">
            <v>0</v>
          </cell>
          <cell r="H13">
            <v>0</v>
          </cell>
          <cell r="I13">
            <v>10</v>
          </cell>
          <cell r="J13">
            <v>0</v>
          </cell>
          <cell r="K13">
            <v>0</v>
          </cell>
          <cell r="L13">
            <v>0</v>
          </cell>
          <cell r="M13">
            <v>10</v>
          </cell>
          <cell r="N13">
            <v>0</v>
          </cell>
          <cell r="O13">
            <v>0</v>
          </cell>
          <cell r="P13">
            <v>0</v>
          </cell>
          <cell r="Q13">
            <v>10</v>
          </cell>
          <cell r="R13">
            <v>0</v>
          </cell>
          <cell r="S13">
            <v>0</v>
          </cell>
          <cell r="T13">
            <v>0</v>
          </cell>
          <cell r="U13">
            <v>10</v>
          </cell>
          <cell r="V13">
            <v>0</v>
          </cell>
        </row>
        <row r="14">
          <cell r="B14" t="str">
            <v>GSF Explorer</v>
          </cell>
          <cell r="C14">
            <v>44</v>
          </cell>
          <cell r="D14">
            <v>0</v>
          </cell>
          <cell r="E14">
            <v>0</v>
          </cell>
          <cell r="F14">
            <v>0</v>
          </cell>
          <cell r="G14">
            <v>19</v>
          </cell>
          <cell r="H14">
            <v>37</v>
          </cell>
          <cell r="I14">
            <v>22.6875</v>
          </cell>
          <cell r="J14">
            <v>0</v>
          </cell>
          <cell r="K14">
            <v>19</v>
          </cell>
          <cell r="L14">
            <v>37</v>
          </cell>
          <cell r="M14">
            <v>22.6875</v>
          </cell>
          <cell r="N14">
            <v>0</v>
          </cell>
          <cell r="O14">
            <v>19</v>
          </cell>
          <cell r="P14">
            <v>37</v>
          </cell>
          <cell r="Q14">
            <v>22.6875</v>
          </cell>
          <cell r="R14">
            <v>0</v>
          </cell>
          <cell r="S14">
            <v>19</v>
          </cell>
          <cell r="T14">
            <v>37</v>
          </cell>
          <cell r="U14">
            <v>22.6875</v>
          </cell>
          <cell r="V14">
            <v>0</v>
          </cell>
        </row>
        <row r="15">
          <cell r="B15" t="str">
            <v>GSF Development Driller I</v>
          </cell>
          <cell r="C15">
            <v>0</v>
          </cell>
          <cell r="D15">
            <v>47</v>
          </cell>
          <cell r="E15">
            <v>24</v>
          </cell>
          <cell r="F15">
            <v>0</v>
          </cell>
          <cell r="G15">
            <v>0</v>
          </cell>
          <cell r="H15">
            <v>0</v>
          </cell>
          <cell r="I15">
            <v>2.7083333333333335</v>
          </cell>
          <cell r="J15">
            <v>92</v>
          </cell>
          <cell r="K15">
            <v>0</v>
          </cell>
          <cell r="L15">
            <v>0</v>
          </cell>
          <cell r="M15">
            <v>2.7083333333333335</v>
          </cell>
          <cell r="N15">
            <v>59</v>
          </cell>
          <cell r="O15">
            <v>0</v>
          </cell>
          <cell r="P15">
            <v>0</v>
          </cell>
          <cell r="Q15">
            <v>2.7083333333333335</v>
          </cell>
          <cell r="R15">
            <v>59</v>
          </cell>
          <cell r="S15">
            <v>0</v>
          </cell>
          <cell r="T15">
            <v>0</v>
          </cell>
          <cell r="U15">
            <v>2.7083333333333335</v>
          </cell>
          <cell r="V15">
            <v>59</v>
          </cell>
        </row>
        <row r="16">
          <cell r="B16" t="str">
            <v>Dhirubhai Deepwater KG1</v>
          </cell>
          <cell r="C16">
            <v>0</v>
          </cell>
          <cell r="D16">
            <v>0</v>
          </cell>
          <cell r="E16">
            <v>0</v>
          </cell>
          <cell r="F16">
            <v>7</v>
          </cell>
          <cell r="G16">
            <v>0</v>
          </cell>
          <cell r="H16">
            <v>0</v>
          </cell>
          <cell r="I16">
            <v>5.1395833333333334</v>
          </cell>
          <cell r="J16">
            <v>0</v>
          </cell>
          <cell r="K16">
            <v>0</v>
          </cell>
          <cell r="L16">
            <v>0</v>
          </cell>
          <cell r="M16">
            <v>5.1395833333333334</v>
          </cell>
          <cell r="N16">
            <v>0</v>
          </cell>
          <cell r="O16">
            <v>0</v>
          </cell>
          <cell r="P16">
            <v>0</v>
          </cell>
          <cell r="Q16">
            <v>5.1395833333333334</v>
          </cell>
          <cell r="R16">
            <v>0</v>
          </cell>
          <cell r="S16">
            <v>0</v>
          </cell>
          <cell r="T16">
            <v>0</v>
          </cell>
          <cell r="U16">
            <v>5.1395833333333334</v>
          </cell>
          <cell r="V16">
            <v>0</v>
          </cell>
        </row>
        <row r="17">
          <cell r="B17" t="str">
            <v>Sedco Energy</v>
          </cell>
          <cell r="C17">
            <v>14</v>
          </cell>
          <cell r="D17">
            <v>0</v>
          </cell>
          <cell r="E17">
            <v>0</v>
          </cell>
          <cell r="F17">
            <v>0</v>
          </cell>
          <cell r="G17">
            <v>0</v>
          </cell>
          <cell r="H17">
            <v>0</v>
          </cell>
          <cell r="I17">
            <v>0</v>
          </cell>
          <cell r="J17">
            <v>10</v>
          </cell>
          <cell r="K17">
            <v>0</v>
          </cell>
          <cell r="L17">
            <v>0</v>
          </cell>
          <cell r="M17">
            <v>0</v>
          </cell>
          <cell r="N17">
            <v>0</v>
          </cell>
          <cell r="O17">
            <v>0</v>
          </cell>
          <cell r="P17">
            <v>0</v>
          </cell>
          <cell r="Q17">
            <v>0</v>
          </cell>
          <cell r="R17">
            <v>10</v>
          </cell>
          <cell r="S17">
            <v>0</v>
          </cell>
          <cell r="T17">
            <v>0</v>
          </cell>
          <cell r="U17">
            <v>0</v>
          </cell>
          <cell r="V17">
            <v>0</v>
          </cell>
        </row>
        <row r="18">
          <cell r="B18" t="str">
            <v>Sedco Express</v>
          </cell>
          <cell r="C18">
            <v>62</v>
          </cell>
          <cell r="D18">
            <v>0</v>
          </cell>
          <cell r="E18">
            <v>0</v>
          </cell>
          <cell r="F18">
            <v>0</v>
          </cell>
          <cell r="G18">
            <v>44.333333333333336</v>
          </cell>
          <cell r="H18">
            <v>0</v>
          </cell>
          <cell r="I18">
            <v>14.291666666666666</v>
          </cell>
          <cell r="J18">
            <v>0</v>
          </cell>
          <cell r="K18">
            <v>44.333333333333336</v>
          </cell>
          <cell r="L18">
            <v>0</v>
          </cell>
          <cell r="M18">
            <v>14.291666666666666</v>
          </cell>
          <cell r="N18">
            <v>0</v>
          </cell>
          <cell r="O18">
            <v>44.333333333333336</v>
          </cell>
          <cell r="P18">
            <v>0</v>
          </cell>
          <cell r="Q18">
            <v>14.291666666666666</v>
          </cell>
          <cell r="R18">
            <v>39</v>
          </cell>
          <cell r="S18">
            <v>44.333333333333336</v>
          </cell>
          <cell r="T18">
            <v>0</v>
          </cell>
          <cell r="U18">
            <v>14.291666666666666</v>
          </cell>
          <cell r="V18">
            <v>39</v>
          </cell>
        </row>
        <row r="19">
          <cell r="B19" t="str">
            <v>Discoverer Seven Seas</v>
          </cell>
          <cell r="C19">
            <v>31</v>
          </cell>
          <cell r="D19">
            <v>29</v>
          </cell>
          <cell r="E19">
            <v>0</v>
          </cell>
          <cell r="F19">
            <v>0</v>
          </cell>
          <cell r="G19">
            <v>32.854166666666664</v>
          </cell>
          <cell r="H19">
            <v>12</v>
          </cell>
          <cell r="I19">
            <v>0</v>
          </cell>
          <cell r="J19">
            <v>0</v>
          </cell>
          <cell r="K19">
            <v>32.854166666666664</v>
          </cell>
          <cell r="L19">
            <v>12</v>
          </cell>
          <cell r="M19">
            <v>0</v>
          </cell>
          <cell r="N19">
            <v>0</v>
          </cell>
          <cell r="O19">
            <v>32.854166666666664</v>
          </cell>
          <cell r="P19">
            <v>12</v>
          </cell>
          <cell r="Q19">
            <v>0</v>
          </cell>
          <cell r="R19">
            <v>0</v>
          </cell>
          <cell r="S19">
            <v>32.854166666666664</v>
          </cell>
          <cell r="T19">
            <v>12</v>
          </cell>
          <cell r="U19">
            <v>0</v>
          </cell>
          <cell r="V19">
            <v>0</v>
          </cell>
        </row>
        <row r="20">
          <cell r="B20" t="str">
            <v>Jack Bates</v>
          </cell>
          <cell r="C20">
            <v>0</v>
          </cell>
          <cell r="D20">
            <v>0</v>
          </cell>
          <cell r="E20">
            <v>2</v>
          </cell>
          <cell r="F20">
            <v>3</v>
          </cell>
          <cell r="G20">
            <v>0</v>
          </cell>
          <cell r="H20">
            <v>0</v>
          </cell>
          <cell r="I20">
            <v>0</v>
          </cell>
          <cell r="J20">
            <v>0</v>
          </cell>
          <cell r="K20">
            <v>0</v>
          </cell>
          <cell r="L20">
            <v>0</v>
          </cell>
          <cell r="M20">
            <v>0</v>
          </cell>
          <cell r="N20">
            <v>0</v>
          </cell>
          <cell r="O20">
            <v>0</v>
          </cell>
          <cell r="P20">
            <v>0</v>
          </cell>
          <cell r="Q20">
            <v>0</v>
          </cell>
          <cell r="R20">
            <v>10</v>
          </cell>
          <cell r="S20">
            <v>0</v>
          </cell>
          <cell r="T20">
            <v>0</v>
          </cell>
          <cell r="U20">
            <v>0</v>
          </cell>
          <cell r="V20">
            <v>5</v>
          </cell>
        </row>
        <row r="21">
          <cell r="B21" t="str">
            <v>M.G. Hulme, Jr.</v>
          </cell>
          <cell r="C21">
            <v>0</v>
          </cell>
          <cell r="D21">
            <v>36</v>
          </cell>
          <cell r="E21">
            <v>15</v>
          </cell>
          <cell r="F21">
            <v>92</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row>
        <row r="22">
          <cell r="B22" t="str">
            <v>Sedco 702</v>
          </cell>
          <cell r="C22">
            <v>0</v>
          </cell>
          <cell r="D22">
            <v>0</v>
          </cell>
          <cell r="E22">
            <v>61</v>
          </cell>
          <cell r="F22">
            <v>39</v>
          </cell>
          <cell r="G22">
            <v>0</v>
          </cell>
          <cell r="H22">
            <v>0</v>
          </cell>
          <cell r="I22">
            <v>0</v>
          </cell>
          <cell r="J22">
            <v>73</v>
          </cell>
          <cell r="K22">
            <v>0</v>
          </cell>
          <cell r="L22">
            <v>0</v>
          </cell>
          <cell r="M22">
            <v>0</v>
          </cell>
          <cell r="N22">
            <v>73</v>
          </cell>
          <cell r="O22">
            <v>0</v>
          </cell>
          <cell r="P22">
            <v>0</v>
          </cell>
          <cell r="Q22">
            <v>0</v>
          </cell>
          <cell r="R22">
            <v>74</v>
          </cell>
          <cell r="S22">
            <v>0</v>
          </cell>
          <cell r="T22">
            <v>0</v>
          </cell>
          <cell r="U22">
            <v>0</v>
          </cell>
          <cell r="V22">
            <v>74</v>
          </cell>
        </row>
        <row r="23">
          <cell r="B23" t="str">
            <v>Sedco 707</v>
          </cell>
          <cell r="C23">
            <v>90</v>
          </cell>
          <cell r="D23">
            <v>79</v>
          </cell>
          <cell r="E23">
            <v>0</v>
          </cell>
          <cell r="F23">
            <v>0</v>
          </cell>
          <cell r="G23">
            <v>90.041666666666671</v>
          </cell>
          <cell r="H23">
            <v>68</v>
          </cell>
          <cell r="I23">
            <v>0</v>
          </cell>
          <cell r="J23">
            <v>0</v>
          </cell>
          <cell r="K23">
            <v>90.041666666666671</v>
          </cell>
          <cell r="L23">
            <v>68</v>
          </cell>
          <cell r="M23">
            <v>0</v>
          </cell>
          <cell r="N23">
            <v>0</v>
          </cell>
          <cell r="O23">
            <v>90.041666666666671</v>
          </cell>
          <cell r="P23">
            <v>68</v>
          </cell>
          <cell r="Q23">
            <v>0</v>
          </cell>
          <cell r="R23">
            <v>0</v>
          </cell>
          <cell r="S23">
            <v>90.041666666666671</v>
          </cell>
          <cell r="T23">
            <v>68</v>
          </cell>
          <cell r="U23">
            <v>0</v>
          </cell>
          <cell r="V23">
            <v>0</v>
          </cell>
        </row>
        <row r="24">
          <cell r="B24" t="str">
            <v>Sedco 710</v>
          </cell>
          <cell r="C24">
            <v>0</v>
          </cell>
          <cell r="D24">
            <v>0</v>
          </cell>
          <cell r="E24">
            <v>0</v>
          </cell>
          <cell r="F24">
            <v>21</v>
          </cell>
          <cell r="G24">
            <v>0</v>
          </cell>
          <cell r="H24">
            <v>40</v>
          </cell>
          <cell r="I24">
            <v>0</v>
          </cell>
          <cell r="J24">
            <v>67</v>
          </cell>
          <cell r="K24">
            <v>0</v>
          </cell>
          <cell r="L24">
            <v>40</v>
          </cell>
          <cell r="M24">
            <v>0</v>
          </cell>
          <cell r="N24">
            <v>0</v>
          </cell>
          <cell r="O24">
            <v>0</v>
          </cell>
          <cell r="P24">
            <v>40</v>
          </cell>
          <cell r="Q24">
            <v>0</v>
          </cell>
          <cell r="R24">
            <v>30</v>
          </cell>
          <cell r="S24">
            <v>0</v>
          </cell>
          <cell r="T24">
            <v>40</v>
          </cell>
          <cell r="U24">
            <v>0</v>
          </cell>
          <cell r="V24">
            <v>0</v>
          </cell>
        </row>
        <row r="25">
          <cell r="B25" t="str">
            <v>Transocean Marianas</v>
          </cell>
          <cell r="C25">
            <v>27</v>
          </cell>
          <cell r="D25">
            <v>0</v>
          </cell>
          <cell r="E25">
            <v>0</v>
          </cell>
          <cell r="F25">
            <v>0</v>
          </cell>
          <cell r="G25">
            <v>61.958333333333343</v>
          </cell>
          <cell r="H25">
            <v>0</v>
          </cell>
          <cell r="I25">
            <v>0</v>
          </cell>
          <cell r="J25">
            <v>45</v>
          </cell>
          <cell r="K25">
            <v>61.958333333333343</v>
          </cell>
          <cell r="L25">
            <v>0</v>
          </cell>
          <cell r="M25">
            <v>0</v>
          </cell>
          <cell r="N25">
            <v>45</v>
          </cell>
          <cell r="O25">
            <v>61.958333333333343</v>
          </cell>
          <cell r="P25">
            <v>0</v>
          </cell>
          <cell r="Q25">
            <v>0</v>
          </cell>
          <cell r="R25">
            <v>45</v>
          </cell>
          <cell r="S25">
            <v>61.958333333333343</v>
          </cell>
          <cell r="T25">
            <v>0</v>
          </cell>
          <cell r="U25">
            <v>0</v>
          </cell>
          <cell r="V25">
            <v>45</v>
          </cell>
        </row>
        <row r="26">
          <cell r="B26" t="str">
            <v>Transocean Rather</v>
          </cell>
          <cell r="C26">
            <v>0</v>
          </cell>
          <cell r="D26">
            <v>0</v>
          </cell>
          <cell r="E26">
            <v>0</v>
          </cell>
          <cell r="F26">
            <v>60</v>
          </cell>
          <cell r="G26">
            <v>0</v>
          </cell>
          <cell r="H26">
            <v>0</v>
          </cell>
          <cell r="I26">
            <v>0</v>
          </cell>
          <cell r="J26">
            <v>92</v>
          </cell>
          <cell r="K26">
            <v>0</v>
          </cell>
          <cell r="L26">
            <v>0</v>
          </cell>
          <cell r="M26">
            <v>0</v>
          </cell>
          <cell r="N26">
            <v>0</v>
          </cell>
          <cell r="O26">
            <v>0</v>
          </cell>
          <cell r="P26">
            <v>0</v>
          </cell>
          <cell r="Q26">
            <v>0</v>
          </cell>
          <cell r="R26">
            <v>61</v>
          </cell>
          <cell r="S26">
            <v>0</v>
          </cell>
          <cell r="T26">
            <v>0</v>
          </cell>
          <cell r="U26">
            <v>0</v>
          </cell>
          <cell r="V26">
            <v>0</v>
          </cell>
        </row>
        <row r="27">
          <cell r="B27" t="str">
            <v>Henry Goodrich</v>
          </cell>
          <cell r="C27">
            <v>0</v>
          </cell>
          <cell r="D27">
            <v>0</v>
          </cell>
          <cell r="E27">
            <v>0</v>
          </cell>
          <cell r="F27">
            <v>61</v>
          </cell>
          <cell r="G27">
            <v>5.125</v>
          </cell>
          <cell r="H27">
            <v>0</v>
          </cell>
          <cell r="I27">
            <v>0</v>
          </cell>
          <cell r="J27">
            <v>0</v>
          </cell>
          <cell r="K27">
            <v>5.125</v>
          </cell>
          <cell r="L27">
            <v>0</v>
          </cell>
          <cell r="M27">
            <v>0</v>
          </cell>
          <cell r="N27">
            <v>0</v>
          </cell>
          <cell r="O27">
            <v>5.125</v>
          </cell>
          <cell r="P27">
            <v>0</v>
          </cell>
          <cell r="Q27">
            <v>0</v>
          </cell>
          <cell r="R27">
            <v>0</v>
          </cell>
          <cell r="S27">
            <v>5.125</v>
          </cell>
          <cell r="T27">
            <v>0</v>
          </cell>
          <cell r="U27">
            <v>0</v>
          </cell>
          <cell r="V27">
            <v>0</v>
          </cell>
        </row>
        <row r="28">
          <cell r="B28" t="str">
            <v>Transocean Leader</v>
          </cell>
          <cell r="C28">
            <v>3</v>
          </cell>
          <cell r="D28">
            <v>0</v>
          </cell>
          <cell r="E28">
            <v>0</v>
          </cell>
          <cell r="F28">
            <v>0</v>
          </cell>
          <cell r="G28">
            <v>3.4583333333333335</v>
          </cell>
          <cell r="H28">
            <v>0</v>
          </cell>
          <cell r="I28">
            <v>0</v>
          </cell>
          <cell r="J28">
            <v>0</v>
          </cell>
          <cell r="K28">
            <v>3.4583333333333335</v>
          </cell>
          <cell r="L28">
            <v>0</v>
          </cell>
          <cell r="M28">
            <v>0</v>
          </cell>
          <cell r="N28">
            <v>0</v>
          </cell>
          <cell r="O28">
            <v>3.4583333333333335</v>
          </cell>
          <cell r="P28">
            <v>0</v>
          </cell>
          <cell r="Q28">
            <v>0</v>
          </cell>
          <cell r="R28">
            <v>0</v>
          </cell>
          <cell r="S28">
            <v>3.4583333333333335</v>
          </cell>
          <cell r="T28">
            <v>0</v>
          </cell>
          <cell r="U28">
            <v>0</v>
          </cell>
          <cell r="V28">
            <v>0</v>
          </cell>
        </row>
        <row r="29">
          <cell r="B29" t="str">
            <v>GSF Arctic I</v>
          </cell>
          <cell r="C29">
            <v>45</v>
          </cell>
          <cell r="D29">
            <v>43</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row>
        <row r="30">
          <cell r="B30" t="str">
            <v>GSF Grand Banks</v>
          </cell>
          <cell r="C30">
            <v>0</v>
          </cell>
          <cell r="D30">
            <v>0</v>
          </cell>
          <cell r="E30">
            <v>0</v>
          </cell>
          <cell r="F30">
            <v>61</v>
          </cell>
          <cell r="G30">
            <v>0</v>
          </cell>
          <cell r="H30">
            <v>0</v>
          </cell>
          <cell r="I30">
            <v>0</v>
          </cell>
          <cell r="J30">
            <v>7</v>
          </cell>
          <cell r="K30">
            <v>0</v>
          </cell>
          <cell r="L30">
            <v>0</v>
          </cell>
          <cell r="M30">
            <v>0</v>
          </cell>
          <cell r="N30">
            <v>0</v>
          </cell>
          <cell r="O30">
            <v>0</v>
          </cell>
          <cell r="P30">
            <v>0</v>
          </cell>
          <cell r="Q30">
            <v>0</v>
          </cell>
          <cell r="R30">
            <v>42</v>
          </cell>
          <cell r="S30">
            <v>0</v>
          </cell>
          <cell r="T30">
            <v>0</v>
          </cell>
          <cell r="U30">
            <v>0</v>
          </cell>
          <cell r="V30">
            <v>16</v>
          </cell>
        </row>
        <row r="31">
          <cell r="B31" t="str">
            <v>GSF Rig 135</v>
          </cell>
          <cell r="C31">
            <v>55</v>
          </cell>
          <cell r="D31">
            <v>0</v>
          </cell>
          <cell r="E31">
            <v>0</v>
          </cell>
          <cell r="F31">
            <v>0</v>
          </cell>
          <cell r="G31">
            <v>0</v>
          </cell>
          <cell r="H31">
            <v>58</v>
          </cell>
          <cell r="I31">
            <v>92</v>
          </cell>
          <cell r="J31">
            <v>0</v>
          </cell>
          <cell r="K31">
            <v>0</v>
          </cell>
          <cell r="L31">
            <v>58</v>
          </cell>
          <cell r="M31">
            <v>92</v>
          </cell>
          <cell r="N31">
            <v>0</v>
          </cell>
          <cell r="O31">
            <v>0</v>
          </cell>
          <cell r="P31">
            <v>58</v>
          </cell>
          <cell r="Q31">
            <v>92</v>
          </cell>
          <cell r="R31">
            <v>0</v>
          </cell>
          <cell r="S31">
            <v>0</v>
          </cell>
          <cell r="T31">
            <v>58</v>
          </cell>
          <cell r="U31">
            <v>92</v>
          </cell>
          <cell r="V31">
            <v>0</v>
          </cell>
        </row>
        <row r="32">
          <cell r="B32" t="str">
            <v>GSF Rig 140</v>
          </cell>
          <cell r="C32">
            <v>0</v>
          </cell>
          <cell r="D32">
            <v>0</v>
          </cell>
          <cell r="E32">
            <v>0</v>
          </cell>
          <cell r="F32">
            <v>0</v>
          </cell>
          <cell r="G32">
            <v>0</v>
          </cell>
          <cell r="H32">
            <v>6</v>
          </cell>
          <cell r="I32">
            <v>0</v>
          </cell>
          <cell r="J32">
            <v>0</v>
          </cell>
          <cell r="K32">
            <v>0</v>
          </cell>
          <cell r="L32">
            <v>6</v>
          </cell>
          <cell r="M32">
            <v>0</v>
          </cell>
          <cell r="N32">
            <v>0</v>
          </cell>
          <cell r="O32">
            <v>0</v>
          </cell>
          <cell r="P32">
            <v>6</v>
          </cell>
          <cell r="Q32">
            <v>0</v>
          </cell>
          <cell r="R32">
            <v>0</v>
          </cell>
          <cell r="S32">
            <v>0</v>
          </cell>
          <cell r="T32">
            <v>6</v>
          </cell>
          <cell r="U32">
            <v>0</v>
          </cell>
          <cell r="V32">
            <v>0</v>
          </cell>
        </row>
        <row r="33">
          <cell r="B33" t="str">
            <v>Sedco 704</v>
          </cell>
          <cell r="C33">
            <v>88</v>
          </cell>
          <cell r="D33">
            <v>32</v>
          </cell>
          <cell r="E33">
            <v>0</v>
          </cell>
          <cell r="F33">
            <v>0</v>
          </cell>
          <cell r="G33">
            <v>50</v>
          </cell>
          <cell r="H33">
            <v>91</v>
          </cell>
          <cell r="I33">
            <v>9.5833333333333339</v>
          </cell>
          <cell r="J33">
            <v>86</v>
          </cell>
          <cell r="K33">
            <v>50</v>
          </cell>
          <cell r="L33">
            <v>91</v>
          </cell>
          <cell r="M33">
            <v>9.5833333333333339</v>
          </cell>
          <cell r="N33">
            <v>86</v>
          </cell>
          <cell r="O33">
            <v>50</v>
          </cell>
          <cell r="P33">
            <v>91</v>
          </cell>
          <cell r="Q33">
            <v>9.5833333333333339</v>
          </cell>
          <cell r="R33">
            <v>83.979166666666671</v>
          </cell>
          <cell r="S33">
            <v>50</v>
          </cell>
          <cell r="T33">
            <v>91</v>
          </cell>
          <cell r="U33">
            <v>9.5833333333333339</v>
          </cell>
          <cell r="V33">
            <v>83.979166666666671</v>
          </cell>
        </row>
        <row r="34">
          <cell r="B34" t="str">
            <v>Sedco 711</v>
          </cell>
          <cell r="C34">
            <v>0</v>
          </cell>
          <cell r="D34">
            <v>0</v>
          </cell>
          <cell r="E34">
            <v>64</v>
          </cell>
          <cell r="F34">
            <v>66</v>
          </cell>
          <cell r="G34">
            <v>0</v>
          </cell>
          <cell r="H34">
            <v>0</v>
          </cell>
          <cell r="I34">
            <v>59.947916666666671</v>
          </cell>
          <cell r="J34">
            <v>86</v>
          </cell>
          <cell r="K34">
            <v>0</v>
          </cell>
          <cell r="L34">
            <v>0</v>
          </cell>
          <cell r="M34">
            <v>59.947916666666671</v>
          </cell>
          <cell r="N34">
            <v>86</v>
          </cell>
          <cell r="O34">
            <v>0</v>
          </cell>
          <cell r="P34">
            <v>0</v>
          </cell>
          <cell r="Q34">
            <v>59.947916666666671</v>
          </cell>
          <cell r="R34">
            <v>86</v>
          </cell>
          <cell r="S34">
            <v>0</v>
          </cell>
          <cell r="T34">
            <v>0</v>
          </cell>
          <cell r="U34">
            <v>59.947916666666671</v>
          </cell>
          <cell r="V34">
            <v>86</v>
          </cell>
        </row>
        <row r="35">
          <cell r="B35" t="str">
            <v>Sedco 712</v>
          </cell>
          <cell r="C35">
            <v>90</v>
          </cell>
          <cell r="D35">
            <v>91</v>
          </cell>
          <cell r="E35">
            <v>31</v>
          </cell>
          <cell r="F35">
            <v>0</v>
          </cell>
          <cell r="G35">
            <v>53</v>
          </cell>
          <cell r="H35">
            <v>91</v>
          </cell>
          <cell r="I35">
            <v>92</v>
          </cell>
          <cell r="J35">
            <v>10</v>
          </cell>
          <cell r="K35">
            <v>53</v>
          </cell>
          <cell r="L35">
            <v>91</v>
          </cell>
          <cell r="M35">
            <v>92</v>
          </cell>
          <cell r="N35">
            <v>10</v>
          </cell>
          <cell r="O35">
            <v>53</v>
          </cell>
          <cell r="P35">
            <v>91</v>
          </cell>
          <cell r="Q35">
            <v>92</v>
          </cell>
          <cell r="R35">
            <v>17.791666666666668</v>
          </cell>
          <cell r="S35">
            <v>53</v>
          </cell>
          <cell r="T35">
            <v>91</v>
          </cell>
          <cell r="U35">
            <v>92</v>
          </cell>
          <cell r="V35">
            <v>17.791666666666668</v>
          </cell>
        </row>
        <row r="36">
          <cell r="B36" t="str">
            <v>Sedco 714</v>
          </cell>
          <cell r="C36">
            <v>0</v>
          </cell>
          <cell r="D36">
            <v>0</v>
          </cell>
          <cell r="E36">
            <v>0</v>
          </cell>
          <cell r="F36">
            <v>0</v>
          </cell>
          <cell r="G36">
            <v>0</v>
          </cell>
          <cell r="H36">
            <v>0</v>
          </cell>
          <cell r="I36">
            <v>0</v>
          </cell>
          <cell r="J36">
            <v>7</v>
          </cell>
          <cell r="K36">
            <v>0</v>
          </cell>
          <cell r="L36">
            <v>0</v>
          </cell>
          <cell r="M36">
            <v>0</v>
          </cell>
          <cell r="N36">
            <v>7</v>
          </cell>
          <cell r="O36">
            <v>0</v>
          </cell>
          <cell r="P36">
            <v>0</v>
          </cell>
          <cell r="Q36">
            <v>0</v>
          </cell>
          <cell r="R36">
            <v>7</v>
          </cell>
          <cell r="S36">
            <v>0</v>
          </cell>
          <cell r="T36">
            <v>0</v>
          </cell>
          <cell r="U36">
            <v>0</v>
          </cell>
          <cell r="V36">
            <v>7</v>
          </cell>
        </row>
        <row r="37">
          <cell r="B37" t="str">
            <v>Falcon 100</v>
          </cell>
          <cell r="C37">
            <v>0</v>
          </cell>
          <cell r="D37">
            <v>0</v>
          </cell>
          <cell r="E37">
            <v>0</v>
          </cell>
          <cell r="F37">
            <v>0</v>
          </cell>
          <cell r="G37">
            <v>0</v>
          </cell>
          <cell r="H37">
            <v>40</v>
          </cell>
          <cell r="I37">
            <v>0</v>
          </cell>
          <cell r="J37">
            <v>65</v>
          </cell>
          <cell r="K37">
            <v>0</v>
          </cell>
          <cell r="L37">
            <v>40</v>
          </cell>
          <cell r="M37">
            <v>0</v>
          </cell>
          <cell r="N37">
            <v>0</v>
          </cell>
          <cell r="O37">
            <v>0</v>
          </cell>
          <cell r="P37">
            <v>40</v>
          </cell>
          <cell r="Q37">
            <v>0</v>
          </cell>
          <cell r="R37">
            <v>0</v>
          </cell>
          <cell r="S37">
            <v>0</v>
          </cell>
          <cell r="T37">
            <v>40</v>
          </cell>
          <cell r="U37">
            <v>0</v>
          </cell>
          <cell r="V37">
            <v>0</v>
          </cell>
        </row>
        <row r="38">
          <cell r="B38" t="str">
            <v>Transocean Amirante</v>
          </cell>
          <cell r="C38">
            <v>0</v>
          </cell>
          <cell r="D38">
            <v>8</v>
          </cell>
          <cell r="E38">
            <v>92</v>
          </cell>
          <cell r="F38">
            <v>38</v>
          </cell>
          <cell r="G38">
            <v>0</v>
          </cell>
          <cell r="H38">
            <v>0</v>
          </cell>
          <cell r="I38">
            <v>0.39583333333333304</v>
          </cell>
          <cell r="J38">
            <v>0</v>
          </cell>
          <cell r="K38">
            <v>0</v>
          </cell>
          <cell r="L38">
            <v>0</v>
          </cell>
          <cell r="M38">
            <v>0.39583333333333304</v>
          </cell>
          <cell r="N38">
            <v>0</v>
          </cell>
          <cell r="O38">
            <v>0</v>
          </cell>
          <cell r="P38">
            <v>0</v>
          </cell>
          <cell r="Q38">
            <v>0.39583333333333304</v>
          </cell>
          <cell r="R38">
            <v>0</v>
          </cell>
          <cell r="S38">
            <v>0</v>
          </cell>
          <cell r="T38">
            <v>0</v>
          </cell>
          <cell r="U38">
            <v>0.39583333333333304</v>
          </cell>
          <cell r="V38">
            <v>0</v>
          </cell>
        </row>
        <row r="39">
          <cell r="B39" t="str">
            <v>Transocean Driller</v>
          </cell>
          <cell r="C39">
            <v>21</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row>
        <row r="40">
          <cell r="B40" t="str">
            <v>Transocean John Shaw</v>
          </cell>
          <cell r="C40">
            <v>0</v>
          </cell>
          <cell r="D40">
            <v>0</v>
          </cell>
          <cell r="E40">
            <v>0</v>
          </cell>
          <cell r="F40">
            <v>31</v>
          </cell>
          <cell r="G40">
            <v>0</v>
          </cell>
          <cell r="H40">
            <v>0</v>
          </cell>
          <cell r="I40">
            <v>0</v>
          </cell>
          <cell r="J40">
            <v>0</v>
          </cell>
          <cell r="K40">
            <v>0</v>
          </cell>
          <cell r="L40">
            <v>0</v>
          </cell>
          <cell r="M40">
            <v>0</v>
          </cell>
          <cell r="N40">
            <v>0</v>
          </cell>
          <cell r="O40">
            <v>0</v>
          </cell>
          <cell r="P40">
            <v>0</v>
          </cell>
          <cell r="Q40">
            <v>0</v>
          </cell>
          <cell r="R40">
            <v>16</v>
          </cell>
          <cell r="S40">
            <v>0</v>
          </cell>
          <cell r="T40">
            <v>0</v>
          </cell>
          <cell r="U40">
            <v>0</v>
          </cell>
          <cell r="V40">
            <v>16</v>
          </cell>
        </row>
        <row r="41">
          <cell r="B41" t="str">
            <v>Transocean Legend</v>
          </cell>
          <cell r="C41">
            <v>0</v>
          </cell>
          <cell r="D41">
            <v>0</v>
          </cell>
          <cell r="E41">
            <v>45</v>
          </cell>
          <cell r="F41">
            <v>0</v>
          </cell>
          <cell r="G41">
            <v>0</v>
          </cell>
          <cell r="H41">
            <v>0</v>
          </cell>
          <cell r="I41">
            <v>0</v>
          </cell>
          <cell r="J41">
            <v>11</v>
          </cell>
          <cell r="K41">
            <v>0</v>
          </cell>
          <cell r="L41">
            <v>0</v>
          </cell>
          <cell r="M41">
            <v>0</v>
          </cell>
          <cell r="N41">
            <v>11</v>
          </cell>
          <cell r="O41">
            <v>0</v>
          </cell>
          <cell r="P41">
            <v>0</v>
          </cell>
          <cell r="Q41">
            <v>0</v>
          </cell>
          <cell r="R41">
            <v>11</v>
          </cell>
          <cell r="S41">
            <v>0</v>
          </cell>
          <cell r="T41">
            <v>0</v>
          </cell>
          <cell r="U41">
            <v>0</v>
          </cell>
          <cell r="V41">
            <v>11</v>
          </cell>
        </row>
        <row r="42">
          <cell r="B42" t="str">
            <v>Transocean Searcher</v>
          </cell>
          <cell r="C42">
            <v>0</v>
          </cell>
          <cell r="D42">
            <v>83</v>
          </cell>
          <cell r="E42">
            <v>0</v>
          </cell>
          <cell r="F42">
            <v>0</v>
          </cell>
          <cell r="G42">
            <v>15</v>
          </cell>
          <cell r="H42">
            <v>76</v>
          </cell>
          <cell r="I42">
            <v>0</v>
          </cell>
          <cell r="J42">
            <v>0</v>
          </cell>
          <cell r="K42">
            <v>15</v>
          </cell>
          <cell r="L42">
            <v>76</v>
          </cell>
          <cell r="M42">
            <v>0</v>
          </cell>
          <cell r="N42">
            <v>0</v>
          </cell>
          <cell r="O42">
            <v>15</v>
          </cell>
          <cell r="P42">
            <v>76</v>
          </cell>
          <cell r="Q42">
            <v>0</v>
          </cell>
          <cell r="R42">
            <v>0</v>
          </cell>
          <cell r="S42">
            <v>15</v>
          </cell>
          <cell r="T42">
            <v>76</v>
          </cell>
          <cell r="U42">
            <v>0</v>
          </cell>
          <cell r="V42">
            <v>0</v>
          </cell>
        </row>
        <row r="43">
          <cell r="B43" t="str">
            <v>GSF Constellation I</v>
          </cell>
          <cell r="C43">
            <v>0</v>
          </cell>
          <cell r="D43">
            <v>0</v>
          </cell>
          <cell r="E43">
            <v>0</v>
          </cell>
          <cell r="F43">
            <v>28</v>
          </cell>
          <cell r="G43">
            <v>35</v>
          </cell>
          <cell r="H43">
            <v>0</v>
          </cell>
          <cell r="I43">
            <v>0</v>
          </cell>
          <cell r="J43">
            <v>0</v>
          </cell>
          <cell r="K43">
            <v>35</v>
          </cell>
          <cell r="L43">
            <v>0</v>
          </cell>
          <cell r="M43">
            <v>0</v>
          </cell>
          <cell r="N43">
            <v>0</v>
          </cell>
          <cell r="O43">
            <v>35</v>
          </cell>
          <cell r="P43">
            <v>0</v>
          </cell>
          <cell r="Q43">
            <v>0</v>
          </cell>
          <cell r="R43">
            <v>0</v>
          </cell>
          <cell r="S43">
            <v>35</v>
          </cell>
          <cell r="T43">
            <v>0</v>
          </cell>
          <cell r="U43">
            <v>0</v>
          </cell>
          <cell r="V43">
            <v>0</v>
          </cell>
        </row>
        <row r="44">
          <cell r="B44" t="str">
            <v>GSF Constellation II</v>
          </cell>
          <cell r="C44">
            <v>0</v>
          </cell>
          <cell r="D44">
            <v>0</v>
          </cell>
          <cell r="E44">
            <v>0</v>
          </cell>
          <cell r="F44">
            <v>0</v>
          </cell>
          <cell r="G44">
            <v>19.25</v>
          </cell>
          <cell r="H44">
            <v>0</v>
          </cell>
          <cell r="I44">
            <v>0</v>
          </cell>
          <cell r="J44">
            <v>6</v>
          </cell>
          <cell r="K44">
            <v>19.25</v>
          </cell>
          <cell r="L44">
            <v>0</v>
          </cell>
          <cell r="M44">
            <v>0</v>
          </cell>
          <cell r="N44">
            <v>6</v>
          </cell>
          <cell r="O44">
            <v>19.25</v>
          </cell>
          <cell r="P44">
            <v>0</v>
          </cell>
          <cell r="Q44">
            <v>0</v>
          </cell>
          <cell r="R44">
            <v>0</v>
          </cell>
          <cell r="S44">
            <v>19.25</v>
          </cell>
          <cell r="T44">
            <v>0</v>
          </cell>
          <cell r="U44">
            <v>0</v>
          </cell>
          <cell r="V44">
            <v>0</v>
          </cell>
        </row>
        <row r="45">
          <cell r="B45" t="str">
            <v>GSF Galaxy I</v>
          </cell>
          <cell r="C45">
            <v>0</v>
          </cell>
          <cell r="D45">
            <v>0</v>
          </cell>
          <cell r="E45">
            <v>0</v>
          </cell>
          <cell r="F45">
            <v>0</v>
          </cell>
          <cell r="G45">
            <v>0</v>
          </cell>
          <cell r="H45">
            <v>0</v>
          </cell>
          <cell r="I45">
            <v>2.25</v>
          </cell>
          <cell r="J45">
            <v>89</v>
          </cell>
          <cell r="K45">
            <v>0</v>
          </cell>
          <cell r="L45">
            <v>0</v>
          </cell>
          <cell r="M45">
            <v>2.25</v>
          </cell>
          <cell r="N45">
            <v>89</v>
          </cell>
          <cell r="O45">
            <v>0</v>
          </cell>
          <cell r="P45">
            <v>0</v>
          </cell>
          <cell r="Q45">
            <v>2.25</v>
          </cell>
          <cell r="R45">
            <v>89</v>
          </cell>
          <cell r="S45">
            <v>0</v>
          </cell>
          <cell r="T45">
            <v>0</v>
          </cell>
          <cell r="U45">
            <v>2.25</v>
          </cell>
          <cell r="V45">
            <v>89</v>
          </cell>
        </row>
        <row r="46">
          <cell r="B46" t="str">
            <v>GSF Galaxy II</v>
          </cell>
          <cell r="C46">
            <v>0</v>
          </cell>
          <cell r="D46">
            <v>0</v>
          </cell>
          <cell r="E46">
            <v>76</v>
          </cell>
          <cell r="F46">
            <v>44</v>
          </cell>
          <cell r="G46">
            <v>0</v>
          </cell>
          <cell r="H46">
            <v>0</v>
          </cell>
          <cell r="I46">
            <v>6</v>
          </cell>
          <cell r="J46">
            <v>76</v>
          </cell>
          <cell r="K46">
            <v>0</v>
          </cell>
          <cell r="L46">
            <v>0</v>
          </cell>
          <cell r="M46">
            <v>6</v>
          </cell>
          <cell r="N46">
            <v>76</v>
          </cell>
          <cell r="O46">
            <v>0</v>
          </cell>
          <cell r="P46">
            <v>0</v>
          </cell>
          <cell r="Q46">
            <v>6</v>
          </cell>
          <cell r="R46">
            <v>76</v>
          </cell>
          <cell r="S46">
            <v>0</v>
          </cell>
          <cell r="T46">
            <v>0</v>
          </cell>
          <cell r="U46">
            <v>6</v>
          </cell>
          <cell r="V46">
            <v>76</v>
          </cell>
        </row>
        <row r="47">
          <cell r="B47" t="str">
            <v>GSF Monarch</v>
          </cell>
          <cell r="C47">
            <v>0</v>
          </cell>
          <cell r="D47">
            <v>0</v>
          </cell>
          <cell r="E47">
            <v>3</v>
          </cell>
          <cell r="F47">
            <v>57</v>
          </cell>
          <cell r="G47">
            <v>0</v>
          </cell>
          <cell r="H47">
            <v>0</v>
          </cell>
          <cell r="I47">
            <v>47.3125</v>
          </cell>
          <cell r="J47">
            <v>7</v>
          </cell>
          <cell r="K47">
            <v>0</v>
          </cell>
          <cell r="L47">
            <v>0</v>
          </cell>
          <cell r="M47">
            <v>47.3125</v>
          </cell>
          <cell r="N47">
            <v>7</v>
          </cell>
          <cell r="O47">
            <v>0</v>
          </cell>
          <cell r="P47">
            <v>0</v>
          </cell>
          <cell r="Q47">
            <v>47.3125</v>
          </cell>
          <cell r="R47">
            <v>14.1875</v>
          </cell>
          <cell r="S47">
            <v>0</v>
          </cell>
          <cell r="T47">
            <v>0</v>
          </cell>
          <cell r="U47">
            <v>47.3125</v>
          </cell>
          <cell r="V47">
            <v>14.1875</v>
          </cell>
        </row>
        <row r="48">
          <cell r="B48" t="str">
            <v>GSF Monitor</v>
          </cell>
          <cell r="C48">
            <v>0</v>
          </cell>
          <cell r="D48">
            <v>0</v>
          </cell>
          <cell r="E48">
            <v>0</v>
          </cell>
          <cell r="F48">
            <v>85</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row>
      </sheetData>
      <sheetData sheetId="2">
        <row r="4">
          <cell r="B4" t="str">
            <v>Deepwater Discovery</v>
          </cell>
          <cell r="C4">
            <v>40</v>
          </cell>
          <cell r="D4">
            <v>0</v>
          </cell>
          <cell r="E4">
            <v>0</v>
          </cell>
          <cell r="F4">
            <v>0</v>
          </cell>
          <cell r="G4">
            <v>0</v>
          </cell>
          <cell r="H4">
            <v>0</v>
          </cell>
          <cell r="I4">
            <v>0</v>
          </cell>
          <cell r="J4">
            <v>0</v>
          </cell>
          <cell r="K4">
            <v>0</v>
          </cell>
          <cell r="L4">
            <v>0</v>
          </cell>
          <cell r="M4">
            <v>0</v>
          </cell>
          <cell r="N4">
            <v>0</v>
          </cell>
          <cell r="O4">
            <v>0</v>
          </cell>
          <cell r="P4">
            <v>0</v>
          </cell>
          <cell r="Q4">
            <v>0</v>
          </cell>
          <cell r="R4">
            <v>0</v>
          </cell>
        </row>
        <row r="5">
          <cell r="B5" t="str">
            <v>Discoverer Americas</v>
          </cell>
          <cell r="C5">
            <v>0</v>
          </cell>
          <cell r="D5">
            <v>5</v>
          </cell>
          <cell r="E5">
            <v>25</v>
          </cell>
          <cell r="F5">
            <v>0</v>
          </cell>
          <cell r="G5">
            <v>0</v>
          </cell>
          <cell r="H5">
            <v>5</v>
          </cell>
          <cell r="I5">
            <v>25</v>
          </cell>
          <cell r="J5">
            <v>0</v>
          </cell>
          <cell r="K5">
            <v>0</v>
          </cell>
          <cell r="L5">
            <v>5</v>
          </cell>
          <cell r="M5">
            <v>25</v>
          </cell>
          <cell r="N5">
            <v>0</v>
          </cell>
          <cell r="O5">
            <v>0</v>
          </cell>
          <cell r="P5">
            <v>5</v>
          </cell>
          <cell r="Q5">
            <v>25</v>
          </cell>
          <cell r="R5">
            <v>0</v>
          </cell>
        </row>
        <row r="6">
          <cell r="B6" t="str">
            <v>Discoverer Clear Leader</v>
          </cell>
          <cell r="C6">
            <v>21</v>
          </cell>
          <cell r="D6">
            <v>0</v>
          </cell>
          <cell r="E6">
            <v>0</v>
          </cell>
          <cell r="F6">
            <v>0</v>
          </cell>
          <cell r="G6">
            <v>21</v>
          </cell>
          <cell r="H6">
            <v>0</v>
          </cell>
          <cell r="I6">
            <v>0</v>
          </cell>
          <cell r="J6">
            <v>0</v>
          </cell>
          <cell r="K6">
            <v>21</v>
          </cell>
          <cell r="L6">
            <v>0</v>
          </cell>
          <cell r="M6">
            <v>0</v>
          </cell>
          <cell r="N6">
            <v>0</v>
          </cell>
          <cell r="O6">
            <v>21</v>
          </cell>
          <cell r="P6">
            <v>0</v>
          </cell>
          <cell r="Q6">
            <v>0</v>
          </cell>
          <cell r="R6">
            <v>0</v>
          </cell>
        </row>
        <row r="7">
          <cell r="B7" t="str">
            <v>Discoverer Enterprise</v>
          </cell>
          <cell r="C7">
            <v>0</v>
          </cell>
          <cell r="D7">
            <v>0</v>
          </cell>
          <cell r="E7">
            <v>0</v>
          </cell>
          <cell r="F7">
            <v>12</v>
          </cell>
          <cell r="G7">
            <v>0</v>
          </cell>
          <cell r="H7">
            <v>0</v>
          </cell>
          <cell r="I7">
            <v>0</v>
          </cell>
          <cell r="J7">
            <v>12</v>
          </cell>
          <cell r="K7">
            <v>0</v>
          </cell>
          <cell r="L7">
            <v>0</v>
          </cell>
          <cell r="M7">
            <v>0</v>
          </cell>
          <cell r="N7">
            <v>12</v>
          </cell>
          <cell r="O7">
            <v>0</v>
          </cell>
          <cell r="P7">
            <v>0</v>
          </cell>
          <cell r="Q7">
            <v>0</v>
          </cell>
          <cell r="R7">
            <v>12</v>
          </cell>
        </row>
        <row r="8">
          <cell r="B8" t="str">
            <v>Deepwater Frontier</v>
          </cell>
          <cell r="C8">
            <v>14</v>
          </cell>
          <cell r="D8">
            <v>0</v>
          </cell>
          <cell r="E8">
            <v>0</v>
          </cell>
          <cell r="F8">
            <v>0</v>
          </cell>
          <cell r="G8">
            <v>14</v>
          </cell>
          <cell r="H8">
            <v>0</v>
          </cell>
          <cell r="I8">
            <v>0</v>
          </cell>
          <cell r="J8">
            <v>0</v>
          </cell>
          <cell r="K8">
            <v>14</v>
          </cell>
          <cell r="L8">
            <v>0</v>
          </cell>
          <cell r="M8">
            <v>0</v>
          </cell>
          <cell r="N8">
            <v>0</v>
          </cell>
          <cell r="O8">
            <v>14</v>
          </cell>
          <cell r="P8">
            <v>0</v>
          </cell>
          <cell r="Q8">
            <v>0</v>
          </cell>
          <cell r="R8">
            <v>0</v>
          </cell>
        </row>
        <row r="9">
          <cell r="B9" t="str">
            <v>Deepwater Millennium</v>
          </cell>
          <cell r="C9">
            <v>52</v>
          </cell>
          <cell r="D9">
            <v>0</v>
          </cell>
          <cell r="E9">
            <v>0</v>
          </cell>
          <cell r="F9">
            <v>0</v>
          </cell>
          <cell r="G9">
            <v>52</v>
          </cell>
          <cell r="H9">
            <v>0</v>
          </cell>
          <cell r="I9">
            <v>0</v>
          </cell>
          <cell r="J9">
            <v>0</v>
          </cell>
          <cell r="K9">
            <v>52</v>
          </cell>
          <cell r="L9">
            <v>0</v>
          </cell>
          <cell r="M9">
            <v>0</v>
          </cell>
          <cell r="N9">
            <v>0</v>
          </cell>
          <cell r="O9">
            <v>52</v>
          </cell>
          <cell r="P9">
            <v>0</v>
          </cell>
          <cell r="Q9">
            <v>0</v>
          </cell>
          <cell r="R9">
            <v>0</v>
          </cell>
        </row>
        <row r="10">
          <cell r="B10" t="str">
            <v>Discoverer Spirit</v>
          </cell>
          <cell r="C10">
            <v>0</v>
          </cell>
          <cell r="D10">
            <v>0</v>
          </cell>
          <cell r="E10">
            <v>84</v>
          </cell>
          <cell r="F10">
            <v>0</v>
          </cell>
          <cell r="G10">
            <v>0</v>
          </cell>
          <cell r="H10">
            <v>0</v>
          </cell>
          <cell r="I10">
            <v>84</v>
          </cell>
          <cell r="J10">
            <v>0</v>
          </cell>
          <cell r="K10">
            <v>0</v>
          </cell>
          <cell r="L10">
            <v>0</v>
          </cell>
          <cell r="M10">
            <v>84</v>
          </cell>
          <cell r="N10">
            <v>0</v>
          </cell>
          <cell r="O10">
            <v>0</v>
          </cell>
          <cell r="P10">
            <v>0</v>
          </cell>
          <cell r="Q10">
            <v>84</v>
          </cell>
          <cell r="R10">
            <v>0</v>
          </cell>
        </row>
        <row r="11">
          <cell r="B11" t="str">
            <v>GSF Explorer</v>
          </cell>
          <cell r="C11">
            <v>0</v>
          </cell>
          <cell r="D11">
            <v>0</v>
          </cell>
          <cell r="E11">
            <v>21</v>
          </cell>
          <cell r="F11">
            <v>0</v>
          </cell>
          <cell r="G11">
            <v>0</v>
          </cell>
          <cell r="H11">
            <v>0</v>
          </cell>
          <cell r="I11">
            <v>0</v>
          </cell>
          <cell r="J11">
            <v>0</v>
          </cell>
          <cell r="K11">
            <v>0</v>
          </cell>
          <cell r="L11">
            <v>0</v>
          </cell>
          <cell r="M11">
            <v>21</v>
          </cell>
          <cell r="N11">
            <v>0</v>
          </cell>
          <cell r="O11">
            <v>0</v>
          </cell>
          <cell r="P11">
            <v>0</v>
          </cell>
          <cell r="Q11">
            <v>0</v>
          </cell>
          <cell r="R11">
            <v>0</v>
          </cell>
        </row>
        <row r="12">
          <cell r="B12" t="str">
            <v>GSF Development Driller I</v>
          </cell>
          <cell r="C12">
            <v>36</v>
          </cell>
          <cell r="D12">
            <v>0</v>
          </cell>
          <cell r="E12">
            <v>0</v>
          </cell>
          <cell r="F12">
            <v>0</v>
          </cell>
          <cell r="G12">
            <v>0</v>
          </cell>
          <cell r="H12">
            <v>0</v>
          </cell>
          <cell r="I12">
            <v>0</v>
          </cell>
          <cell r="J12">
            <v>0</v>
          </cell>
          <cell r="K12">
            <v>75</v>
          </cell>
          <cell r="L12">
            <v>0</v>
          </cell>
          <cell r="M12">
            <v>0</v>
          </cell>
          <cell r="N12">
            <v>0</v>
          </cell>
          <cell r="O12">
            <v>0</v>
          </cell>
          <cell r="P12">
            <v>0</v>
          </cell>
          <cell r="Q12">
            <v>0</v>
          </cell>
          <cell r="R12">
            <v>0</v>
          </cell>
        </row>
        <row r="13">
          <cell r="B13" t="str">
            <v>GSF Development Driller II</v>
          </cell>
          <cell r="C13">
            <v>16</v>
          </cell>
          <cell r="D13">
            <v>4</v>
          </cell>
          <cell r="E13">
            <v>0</v>
          </cell>
          <cell r="F13">
            <v>0</v>
          </cell>
          <cell r="G13">
            <v>16</v>
          </cell>
          <cell r="H13">
            <v>4</v>
          </cell>
          <cell r="I13">
            <v>0</v>
          </cell>
          <cell r="J13">
            <v>0</v>
          </cell>
          <cell r="K13">
            <v>16</v>
          </cell>
          <cell r="L13">
            <v>4</v>
          </cell>
          <cell r="M13">
            <v>0</v>
          </cell>
          <cell r="N13">
            <v>0</v>
          </cell>
          <cell r="O13">
            <v>16</v>
          </cell>
          <cell r="P13">
            <v>4</v>
          </cell>
          <cell r="Q13">
            <v>0</v>
          </cell>
          <cell r="R13">
            <v>0</v>
          </cell>
        </row>
        <row r="14">
          <cell r="B14" t="str">
            <v>Development Driller III</v>
          </cell>
          <cell r="C14">
            <v>0</v>
          </cell>
          <cell r="D14">
            <v>0</v>
          </cell>
          <cell r="E14">
            <v>0</v>
          </cell>
          <cell r="F14">
            <v>0</v>
          </cell>
          <cell r="G14">
            <v>0</v>
          </cell>
          <cell r="H14">
            <v>0</v>
          </cell>
          <cell r="I14">
            <v>0</v>
          </cell>
          <cell r="J14">
            <v>0</v>
          </cell>
          <cell r="K14">
            <v>0</v>
          </cell>
          <cell r="L14">
            <v>12</v>
          </cell>
          <cell r="M14">
            <v>0</v>
          </cell>
          <cell r="N14">
            <v>0</v>
          </cell>
          <cell r="O14">
            <v>0</v>
          </cell>
          <cell r="P14">
            <v>12</v>
          </cell>
          <cell r="Q14">
            <v>0</v>
          </cell>
          <cell r="R14">
            <v>0</v>
          </cell>
        </row>
        <row r="15">
          <cell r="B15" t="str">
            <v>Dhirubhai Deepwater KG1</v>
          </cell>
          <cell r="C15">
            <v>0</v>
          </cell>
          <cell r="D15">
            <v>0</v>
          </cell>
          <cell r="E15">
            <v>62</v>
          </cell>
          <cell r="F15">
            <v>3</v>
          </cell>
          <cell r="G15">
            <v>0</v>
          </cell>
          <cell r="H15">
            <v>0</v>
          </cell>
          <cell r="I15">
            <v>47</v>
          </cell>
          <cell r="J15">
            <v>0</v>
          </cell>
          <cell r="K15">
            <v>0</v>
          </cell>
          <cell r="L15">
            <v>0</v>
          </cell>
          <cell r="M15">
            <v>62</v>
          </cell>
          <cell r="N15">
            <v>3</v>
          </cell>
          <cell r="O15">
            <v>0</v>
          </cell>
          <cell r="P15">
            <v>0</v>
          </cell>
          <cell r="Q15">
            <v>41</v>
          </cell>
          <cell r="R15">
            <v>0</v>
          </cell>
        </row>
        <row r="16">
          <cell r="B16" t="str">
            <v>Dhirubhai Deepwater KG2</v>
          </cell>
          <cell r="C16">
            <v>21</v>
          </cell>
          <cell r="D16">
            <v>0</v>
          </cell>
          <cell r="E16">
            <v>0</v>
          </cell>
          <cell r="F16">
            <v>0</v>
          </cell>
          <cell r="G16">
            <v>21</v>
          </cell>
          <cell r="H16">
            <v>0</v>
          </cell>
          <cell r="I16">
            <v>0</v>
          </cell>
          <cell r="J16">
            <v>0</v>
          </cell>
          <cell r="K16">
            <v>21</v>
          </cell>
          <cell r="L16">
            <v>0</v>
          </cell>
          <cell r="M16">
            <v>0</v>
          </cell>
          <cell r="N16">
            <v>0</v>
          </cell>
          <cell r="O16">
            <v>21</v>
          </cell>
          <cell r="P16">
            <v>0</v>
          </cell>
          <cell r="Q16">
            <v>0</v>
          </cell>
          <cell r="R16">
            <v>0</v>
          </cell>
        </row>
        <row r="17">
          <cell r="B17" t="str">
            <v>Petrobras 10000</v>
          </cell>
          <cell r="C17">
            <v>0</v>
          </cell>
          <cell r="D17">
            <v>30</v>
          </cell>
          <cell r="E17">
            <v>43</v>
          </cell>
          <cell r="F17">
            <v>0</v>
          </cell>
          <cell r="G17">
            <v>0</v>
          </cell>
          <cell r="H17">
            <v>30</v>
          </cell>
          <cell r="I17">
            <v>43</v>
          </cell>
          <cell r="J17">
            <v>0</v>
          </cell>
          <cell r="K17">
            <v>0</v>
          </cell>
          <cell r="L17">
            <v>30</v>
          </cell>
          <cell r="M17">
            <v>43</v>
          </cell>
          <cell r="N17">
            <v>0</v>
          </cell>
          <cell r="O17">
            <v>0</v>
          </cell>
          <cell r="P17">
            <v>30</v>
          </cell>
          <cell r="Q17">
            <v>43</v>
          </cell>
          <cell r="R17">
            <v>0</v>
          </cell>
        </row>
        <row r="18">
          <cell r="B18" t="str">
            <v>GSF Jack Ryan</v>
          </cell>
          <cell r="C18">
            <v>0</v>
          </cell>
          <cell r="D18">
            <v>0</v>
          </cell>
          <cell r="E18">
            <v>5</v>
          </cell>
          <cell r="F18">
            <v>92</v>
          </cell>
          <cell r="G18">
            <v>0</v>
          </cell>
          <cell r="H18">
            <v>0</v>
          </cell>
          <cell r="I18">
            <v>5</v>
          </cell>
          <cell r="J18">
            <v>92</v>
          </cell>
          <cell r="K18">
            <v>0</v>
          </cell>
          <cell r="L18">
            <v>0</v>
          </cell>
          <cell r="M18">
            <v>5</v>
          </cell>
          <cell r="N18">
            <v>92</v>
          </cell>
          <cell r="O18">
            <v>0</v>
          </cell>
          <cell r="P18">
            <v>0</v>
          </cell>
          <cell r="Q18">
            <v>5</v>
          </cell>
          <cell r="R18">
            <v>92</v>
          </cell>
        </row>
        <row r="19">
          <cell r="B19" t="str">
            <v>Deepwater Nautilus</v>
          </cell>
          <cell r="C19">
            <v>0</v>
          </cell>
          <cell r="D19">
            <v>0</v>
          </cell>
          <cell r="E19">
            <v>92</v>
          </cell>
          <cell r="F19">
            <v>43</v>
          </cell>
          <cell r="G19">
            <v>0</v>
          </cell>
          <cell r="H19">
            <v>0</v>
          </cell>
          <cell r="I19">
            <v>30</v>
          </cell>
          <cell r="J19">
            <v>92</v>
          </cell>
          <cell r="K19">
            <v>0</v>
          </cell>
          <cell r="L19">
            <v>0</v>
          </cell>
          <cell r="M19">
            <v>30</v>
          </cell>
          <cell r="N19">
            <v>92</v>
          </cell>
          <cell r="O19">
            <v>0</v>
          </cell>
          <cell r="P19">
            <v>0</v>
          </cell>
          <cell r="Q19">
            <v>30</v>
          </cell>
          <cell r="R19">
            <v>92</v>
          </cell>
        </row>
        <row r="20">
          <cell r="B20" t="str">
            <v>Sedco Energy</v>
          </cell>
          <cell r="C20">
            <v>15</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row>
        <row r="21">
          <cell r="B21" t="str">
            <v>GSF Development Driller III</v>
          </cell>
          <cell r="C21">
            <v>0</v>
          </cell>
          <cell r="D21">
            <v>12</v>
          </cell>
          <cell r="E21">
            <v>0</v>
          </cell>
          <cell r="F21">
            <v>0</v>
          </cell>
          <cell r="G21">
            <v>0</v>
          </cell>
          <cell r="H21">
            <v>12</v>
          </cell>
          <cell r="I21">
            <v>0</v>
          </cell>
          <cell r="J21">
            <v>0</v>
          </cell>
          <cell r="K21">
            <v>0</v>
          </cell>
          <cell r="L21">
            <v>0</v>
          </cell>
          <cell r="M21">
            <v>0</v>
          </cell>
          <cell r="N21">
            <v>0</v>
          </cell>
          <cell r="O21">
            <v>0</v>
          </cell>
          <cell r="P21">
            <v>0</v>
          </cell>
          <cell r="Q21">
            <v>0</v>
          </cell>
          <cell r="R21">
            <v>0</v>
          </cell>
        </row>
        <row r="22">
          <cell r="B22" t="str">
            <v>Discoverer Seven Seas</v>
          </cell>
          <cell r="C22">
            <v>14</v>
          </cell>
          <cell r="D22">
            <v>0</v>
          </cell>
          <cell r="E22">
            <v>0</v>
          </cell>
          <cell r="F22">
            <v>0</v>
          </cell>
          <cell r="G22">
            <v>0</v>
          </cell>
          <cell r="H22">
            <v>0</v>
          </cell>
          <cell r="I22">
            <v>0</v>
          </cell>
          <cell r="J22">
            <v>0</v>
          </cell>
          <cell r="K22">
            <v>0</v>
          </cell>
          <cell r="L22">
            <v>14</v>
          </cell>
          <cell r="M22">
            <v>0</v>
          </cell>
          <cell r="N22">
            <v>0</v>
          </cell>
          <cell r="O22">
            <v>0</v>
          </cell>
          <cell r="P22">
            <v>0</v>
          </cell>
          <cell r="Q22">
            <v>0</v>
          </cell>
          <cell r="R22">
            <v>0</v>
          </cell>
        </row>
        <row r="23">
          <cell r="B23" t="str">
            <v>Jack Bates</v>
          </cell>
          <cell r="C23">
            <v>4</v>
          </cell>
          <cell r="D23">
            <v>10</v>
          </cell>
          <cell r="E23">
            <v>0</v>
          </cell>
          <cell r="F23">
            <v>0</v>
          </cell>
          <cell r="G23">
            <v>0</v>
          </cell>
          <cell r="H23">
            <v>10</v>
          </cell>
          <cell r="I23">
            <v>0</v>
          </cell>
          <cell r="J23">
            <v>0</v>
          </cell>
          <cell r="K23">
            <v>0</v>
          </cell>
          <cell r="L23">
            <v>8</v>
          </cell>
          <cell r="M23">
            <v>6</v>
          </cell>
          <cell r="N23">
            <v>0</v>
          </cell>
          <cell r="O23">
            <v>0</v>
          </cell>
          <cell r="P23">
            <v>4</v>
          </cell>
          <cell r="Q23">
            <v>6</v>
          </cell>
          <cell r="R23">
            <v>0</v>
          </cell>
        </row>
        <row r="24">
          <cell r="B24" t="str">
            <v>M. G. Hulme, Jr.</v>
          </cell>
          <cell r="C24">
            <v>59</v>
          </cell>
          <cell r="D24">
            <v>31</v>
          </cell>
          <cell r="E24">
            <v>0</v>
          </cell>
          <cell r="F24">
            <v>0</v>
          </cell>
          <cell r="G24">
            <v>0</v>
          </cell>
          <cell r="H24">
            <v>0</v>
          </cell>
          <cell r="I24">
            <v>0</v>
          </cell>
          <cell r="J24">
            <v>0</v>
          </cell>
          <cell r="K24">
            <v>59</v>
          </cell>
          <cell r="L24">
            <v>31</v>
          </cell>
          <cell r="M24">
            <v>0</v>
          </cell>
          <cell r="N24">
            <v>0</v>
          </cell>
          <cell r="O24">
            <v>0</v>
          </cell>
          <cell r="P24">
            <v>0</v>
          </cell>
          <cell r="Q24">
            <v>0</v>
          </cell>
          <cell r="R24">
            <v>0</v>
          </cell>
        </row>
        <row r="25">
          <cell r="B25" t="str">
            <v>Sedco 702</v>
          </cell>
          <cell r="C25">
            <v>37</v>
          </cell>
          <cell r="D25">
            <v>0</v>
          </cell>
          <cell r="E25">
            <v>0</v>
          </cell>
          <cell r="F25">
            <v>0</v>
          </cell>
          <cell r="G25">
            <v>42</v>
          </cell>
          <cell r="H25">
            <v>0</v>
          </cell>
          <cell r="I25">
            <v>0</v>
          </cell>
          <cell r="J25">
            <v>0</v>
          </cell>
          <cell r="K25">
            <v>42</v>
          </cell>
          <cell r="L25">
            <v>0</v>
          </cell>
          <cell r="M25">
            <v>0</v>
          </cell>
          <cell r="N25">
            <v>0</v>
          </cell>
          <cell r="O25">
            <v>42</v>
          </cell>
          <cell r="P25">
            <v>0</v>
          </cell>
          <cell r="Q25">
            <v>0</v>
          </cell>
          <cell r="R25">
            <v>0</v>
          </cell>
        </row>
        <row r="26">
          <cell r="B26" t="str">
            <v>Sedco 706</v>
          </cell>
          <cell r="C26">
            <v>0</v>
          </cell>
          <cell r="D26">
            <v>22</v>
          </cell>
          <cell r="E26">
            <v>0</v>
          </cell>
          <cell r="F26">
            <v>0</v>
          </cell>
          <cell r="G26">
            <v>0</v>
          </cell>
          <cell r="H26">
            <v>21</v>
          </cell>
          <cell r="I26">
            <v>0</v>
          </cell>
          <cell r="J26">
            <v>0</v>
          </cell>
          <cell r="K26">
            <v>0</v>
          </cell>
          <cell r="L26">
            <v>22</v>
          </cell>
          <cell r="M26">
            <v>0</v>
          </cell>
          <cell r="N26">
            <v>0</v>
          </cell>
          <cell r="O26">
            <v>0</v>
          </cell>
          <cell r="P26">
            <v>21</v>
          </cell>
          <cell r="Q26">
            <v>0</v>
          </cell>
          <cell r="R26">
            <v>0</v>
          </cell>
        </row>
        <row r="27">
          <cell r="B27" t="str">
            <v>GSF Celtic Sea</v>
          </cell>
          <cell r="C27">
            <v>0</v>
          </cell>
          <cell r="D27">
            <v>0</v>
          </cell>
          <cell r="E27">
            <v>33</v>
          </cell>
          <cell r="F27">
            <v>9</v>
          </cell>
          <cell r="G27">
            <v>0</v>
          </cell>
          <cell r="H27">
            <v>0</v>
          </cell>
          <cell r="I27">
            <v>33</v>
          </cell>
          <cell r="J27">
            <v>9</v>
          </cell>
          <cell r="K27">
            <v>0</v>
          </cell>
          <cell r="L27">
            <v>0</v>
          </cell>
          <cell r="M27">
            <v>4</v>
          </cell>
          <cell r="N27">
            <v>38</v>
          </cell>
          <cell r="O27">
            <v>0</v>
          </cell>
          <cell r="P27">
            <v>0</v>
          </cell>
          <cell r="Q27">
            <v>4</v>
          </cell>
          <cell r="R27">
            <v>38</v>
          </cell>
        </row>
        <row r="28">
          <cell r="B28" t="str">
            <v>Sedco 710</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row>
        <row r="29">
          <cell r="B29" t="str">
            <v>Deepwater Navigator</v>
          </cell>
          <cell r="C29">
            <v>0</v>
          </cell>
          <cell r="D29">
            <v>0</v>
          </cell>
          <cell r="E29">
            <v>14</v>
          </cell>
          <cell r="F29">
            <v>0</v>
          </cell>
          <cell r="G29">
            <v>0</v>
          </cell>
          <cell r="H29">
            <v>0</v>
          </cell>
          <cell r="I29">
            <v>14</v>
          </cell>
          <cell r="J29">
            <v>0</v>
          </cell>
          <cell r="K29">
            <v>0</v>
          </cell>
          <cell r="L29">
            <v>0</v>
          </cell>
          <cell r="M29">
            <v>14</v>
          </cell>
          <cell r="N29">
            <v>0</v>
          </cell>
          <cell r="O29">
            <v>0</v>
          </cell>
          <cell r="P29">
            <v>0</v>
          </cell>
          <cell r="Q29">
            <v>14</v>
          </cell>
          <cell r="R29">
            <v>0</v>
          </cell>
        </row>
        <row r="30">
          <cell r="B30" t="str">
            <v>Transocean Marianas</v>
          </cell>
          <cell r="C30">
            <v>5</v>
          </cell>
          <cell r="D30">
            <v>0</v>
          </cell>
          <cell r="E30">
            <v>30</v>
          </cell>
          <cell r="F30">
            <v>0</v>
          </cell>
          <cell r="G30">
            <v>0</v>
          </cell>
          <cell r="H30">
            <v>0</v>
          </cell>
          <cell r="I30">
            <v>30</v>
          </cell>
          <cell r="J30">
            <v>0</v>
          </cell>
          <cell r="K30">
            <v>5</v>
          </cell>
          <cell r="L30">
            <v>0</v>
          </cell>
          <cell r="M30">
            <v>0</v>
          </cell>
          <cell r="N30">
            <v>30</v>
          </cell>
          <cell r="O30">
            <v>0</v>
          </cell>
          <cell r="P30">
            <v>0</v>
          </cell>
          <cell r="Q30">
            <v>0</v>
          </cell>
          <cell r="R30">
            <v>30</v>
          </cell>
        </row>
        <row r="31">
          <cell r="B31" t="str">
            <v>Transocean Rather</v>
          </cell>
          <cell r="C31">
            <v>8</v>
          </cell>
          <cell r="D31">
            <v>0</v>
          </cell>
          <cell r="E31">
            <v>0</v>
          </cell>
          <cell r="F31">
            <v>0</v>
          </cell>
          <cell r="G31">
            <v>0</v>
          </cell>
          <cell r="H31">
            <v>0</v>
          </cell>
          <cell r="I31">
            <v>0</v>
          </cell>
          <cell r="J31">
            <v>0</v>
          </cell>
          <cell r="K31">
            <v>8</v>
          </cell>
          <cell r="L31">
            <v>0</v>
          </cell>
          <cell r="M31">
            <v>0</v>
          </cell>
          <cell r="N31">
            <v>0</v>
          </cell>
          <cell r="O31">
            <v>8</v>
          </cell>
          <cell r="P31">
            <v>0</v>
          </cell>
          <cell r="Q31">
            <v>0</v>
          </cell>
          <cell r="R31">
            <v>0</v>
          </cell>
        </row>
        <row r="32">
          <cell r="B32" t="str">
            <v>Transocean Barents</v>
          </cell>
          <cell r="C32">
            <v>0</v>
          </cell>
          <cell r="D32">
            <v>12</v>
          </cell>
          <cell r="E32">
            <v>78</v>
          </cell>
          <cell r="F32">
            <v>0</v>
          </cell>
          <cell r="G32">
            <v>0</v>
          </cell>
          <cell r="H32">
            <v>12</v>
          </cell>
          <cell r="I32">
            <v>72</v>
          </cell>
          <cell r="J32">
            <v>0</v>
          </cell>
          <cell r="K32">
            <v>0</v>
          </cell>
          <cell r="L32">
            <v>12</v>
          </cell>
          <cell r="M32">
            <v>70</v>
          </cell>
          <cell r="N32">
            <v>0</v>
          </cell>
          <cell r="O32">
            <v>0</v>
          </cell>
          <cell r="P32">
            <v>12</v>
          </cell>
          <cell r="Q32">
            <v>70</v>
          </cell>
          <cell r="R32">
            <v>0</v>
          </cell>
        </row>
        <row r="33">
          <cell r="B33" t="str">
            <v>Transocean Arctic</v>
          </cell>
          <cell r="C33">
            <v>0</v>
          </cell>
          <cell r="D33">
            <v>0</v>
          </cell>
          <cell r="E33">
            <v>34</v>
          </cell>
          <cell r="F33">
            <v>51</v>
          </cell>
          <cell r="G33">
            <v>0</v>
          </cell>
          <cell r="H33">
            <v>0</v>
          </cell>
          <cell r="I33">
            <v>34</v>
          </cell>
          <cell r="J33">
            <v>45</v>
          </cell>
          <cell r="K33">
            <v>0</v>
          </cell>
          <cell r="L33">
            <v>0</v>
          </cell>
          <cell r="M33">
            <v>34</v>
          </cell>
          <cell r="N33">
            <v>44</v>
          </cell>
          <cell r="O33">
            <v>0</v>
          </cell>
          <cell r="P33">
            <v>0</v>
          </cell>
          <cell r="Q33">
            <v>34</v>
          </cell>
          <cell r="R33">
            <v>44</v>
          </cell>
        </row>
        <row r="34">
          <cell r="B34" t="str">
            <v>Polar Pioneer</v>
          </cell>
          <cell r="C34">
            <v>45</v>
          </cell>
          <cell r="D34">
            <v>57</v>
          </cell>
          <cell r="E34">
            <v>0</v>
          </cell>
          <cell r="F34">
            <v>0</v>
          </cell>
          <cell r="G34">
            <v>41</v>
          </cell>
          <cell r="H34">
            <v>48</v>
          </cell>
          <cell r="I34">
            <v>0</v>
          </cell>
          <cell r="J34">
            <v>0</v>
          </cell>
          <cell r="K34">
            <v>21</v>
          </cell>
          <cell r="L34">
            <v>91</v>
          </cell>
          <cell r="M34">
            <v>15</v>
          </cell>
          <cell r="N34">
            <v>0</v>
          </cell>
          <cell r="O34">
            <v>21</v>
          </cell>
          <cell r="P34">
            <v>91</v>
          </cell>
          <cell r="Q34">
            <v>15</v>
          </cell>
          <cell r="R34">
            <v>0</v>
          </cell>
        </row>
        <row r="35">
          <cell r="B35" t="str">
            <v>GSF Arctic I</v>
          </cell>
          <cell r="C35">
            <v>0</v>
          </cell>
          <cell r="D35">
            <v>61</v>
          </cell>
          <cell r="E35">
            <v>92</v>
          </cell>
          <cell r="F35">
            <v>0</v>
          </cell>
          <cell r="G35">
            <v>0</v>
          </cell>
          <cell r="H35">
            <v>0</v>
          </cell>
          <cell r="I35">
            <v>0</v>
          </cell>
          <cell r="J35">
            <v>0</v>
          </cell>
          <cell r="K35">
            <v>0</v>
          </cell>
          <cell r="L35">
            <v>61</v>
          </cell>
          <cell r="M35">
            <v>92</v>
          </cell>
          <cell r="N35">
            <v>0</v>
          </cell>
          <cell r="O35">
            <v>0</v>
          </cell>
          <cell r="P35">
            <v>0</v>
          </cell>
          <cell r="Q35">
            <v>0</v>
          </cell>
          <cell r="R35">
            <v>0</v>
          </cell>
        </row>
        <row r="36">
          <cell r="B36" t="str">
            <v>Actinia</v>
          </cell>
          <cell r="C36">
            <v>0</v>
          </cell>
          <cell r="D36">
            <v>0</v>
          </cell>
          <cell r="E36">
            <v>21</v>
          </cell>
          <cell r="F36">
            <v>0</v>
          </cell>
          <cell r="G36">
            <v>0</v>
          </cell>
          <cell r="H36">
            <v>0</v>
          </cell>
          <cell r="I36">
            <v>21</v>
          </cell>
          <cell r="J36">
            <v>0</v>
          </cell>
          <cell r="K36">
            <v>0</v>
          </cell>
          <cell r="L36">
            <v>0</v>
          </cell>
          <cell r="M36">
            <v>21</v>
          </cell>
          <cell r="N36">
            <v>0</v>
          </cell>
          <cell r="O36">
            <v>0</v>
          </cell>
          <cell r="P36">
            <v>0</v>
          </cell>
          <cell r="Q36">
            <v>21</v>
          </cell>
          <cell r="R36">
            <v>0</v>
          </cell>
        </row>
        <row r="37">
          <cell r="B37" t="str">
            <v>GSF Grand Banks</v>
          </cell>
          <cell r="C37">
            <v>90</v>
          </cell>
          <cell r="D37">
            <v>75</v>
          </cell>
          <cell r="E37">
            <v>0</v>
          </cell>
          <cell r="F37">
            <v>0</v>
          </cell>
          <cell r="G37">
            <v>71</v>
          </cell>
          <cell r="H37">
            <v>54</v>
          </cell>
          <cell r="I37">
            <v>0</v>
          </cell>
          <cell r="J37">
            <v>0</v>
          </cell>
          <cell r="K37">
            <v>90</v>
          </cell>
          <cell r="L37">
            <v>40</v>
          </cell>
          <cell r="M37">
            <v>0</v>
          </cell>
          <cell r="N37">
            <v>0</v>
          </cell>
          <cell r="O37">
            <v>90</v>
          </cell>
          <cell r="P37">
            <v>19</v>
          </cell>
          <cell r="Q37">
            <v>0</v>
          </cell>
          <cell r="R37">
            <v>0</v>
          </cell>
        </row>
        <row r="38">
          <cell r="B38" t="str">
            <v>GSF Rig 140</v>
          </cell>
          <cell r="C38">
            <v>0</v>
          </cell>
          <cell r="D38">
            <v>0</v>
          </cell>
          <cell r="E38">
            <v>36</v>
          </cell>
          <cell r="F38">
            <v>0</v>
          </cell>
          <cell r="G38">
            <v>0</v>
          </cell>
          <cell r="H38">
            <v>0</v>
          </cell>
          <cell r="I38">
            <v>30</v>
          </cell>
          <cell r="J38">
            <v>0</v>
          </cell>
          <cell r="K38">
            <v>0</v>
          </cell>
          <cell r="L38">
            <v>0</v>
          </cell>
          <cell r="M38">
            <v>36</v>
          </cell>
          <cell r="N38">
            <v>0</v>
          </cell>
          <cell r="O38">
            <v>0</v>
          </cell>
          <cell r="P38">
            <v>0</v>
          </cell>
          <cell r="Q38">
            <v>30</v>
          </cell>
          <cell r="R38">
            <v>0</v>
          </cell>
        </row>
        <row r="39">
          <cell r="B39" t="str">
            <v>Transocean Legend</v>
          </cell>
          <cell r="C39">
            <v>34</v>
          </cell>
          <cell r="D39">
            <v>0</v>
          </cell>
          <cell r="E39">
            <v>0</v>
          </cell>
          <cell r="F39">
            <v>0</v>
          </cell>
          <cell r="G39">
            <v>34</v>
          </cell>
          <cell r="H39">
            <v>0</v>
          </cell>
          <cell r="I39">
            <v>0</v>
          </cell>
          <cell r="J39">
            <v>0</v>
          </cell>
          <cell r="K39">
            <v>34</v>
          </cell>
          <cell r="L39">
            <v>0</v>
          </cell>
          <cell r="M39">
            <v>0</v>
          </cell>
          <cell r="N39">
            <v>0</v>
          </cell>
          <cell r="O39">
            <v>34</v>
          </cell>
          <cell r="P39">
            <v>0</v>
          </cell>
          <cell r="Q39">
            <v>0</v>
          </cell>
          <cell r="R39">
            <v>0</v>
          </cell>
        </row>
        <row r="40">
          <cell r="B40" t="str">
            <v>Transocean Amirante</v>
          </cell>
          <cell r="C40">
            <v>58</v>
          </cell>
          <cell r="D40">
            <v>2</v>
          </cell>
          <cell r="E40">
            <v>0</v>
          </cell>
          <cell r="F40">
            <v>0</v>
          </cell>
          <cell r="G40">
            <v>0</v>
          </cell>
          <cell r="H40">
            <v>0</v>
          </cell>
          <cell r="I40">
            <v>0</v>
          </cell>
          <cell r="J40">
            <v>0</v>
          </cell>
          <cell r="K40">
            <v>58</v>
          </cell>
          <cell r="L40">
            <v>2</v>
          </cell>
          <cell r="M40">
            <v>0</v>
          </cell>
          <cell r="N40">
            <v>0</v>
          </cell>
          <cell r="O40">
            <v>0</v>
          </cell>
          <cell r="P40">
            <v>0</v>
          </cell>
          <cell r="Q40">
            <v>0</v>
          </cell>
          <cell r="R40">
            <v>0</v>
          </cell>
        </row>
        <row r="41">
          <cell r="B41" t="str">
            <v>Sedco 704</v>
          </cell>
          <cell r="C41">
            <v>2</v>
          </cell>
          <cell r="D41">
            <v>0</v>
          </cell>
          <cell r="E41">
            <v>0</v>
          </cell>
          <cell r="F41">
            <v>0</v>
          </cell>
          <cell r="G41">
            <v>2</v>
          </cell>
          <cell r="H41">
            <v>0</v>
          </cell>
          <cell r="I41">
            <v>0</v>
          </cell>
          <cell r="J41">
            <v>0</v>
          </cell>
          <cell r="K41">
            <v>4</v>
          </cell>
          <cell r="L41">
            <v>0</v>
          </cell>
          <cell r="M41">
            <v>0</v>
          </cell>
          <cell r="N41">
            <v>0</v>
          </cell>
          <cell r="O41">
            <v>4</v>
          </cell>
          <cell r="P41">
            <v>0</v>
          </cell>
          <cell r="Q41">
            <v>0</v>
          </cell>
          <cell r="R41">
            <v>0</v>
          </cell>
        </row>
        <row r="42">
          <cell r="B42" t="str">
            <v>Sedco 711</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row>
        <row r="43">
          <cell r="B43" t="str">
            <v>Sedco 714</v>
          </cell>
          <cell r="C43">
            <v>90</v>
          </cell>
          <cell r="D43">
            <v>23</v>
          </cell>
          <cell r="E43">
            <v>0</v>
          </cell>
          <cell r="F43">
            <v>0</v>
          </cell>
          <cell r="G43">
            <v>90</v>
          </cell>
          <cell r="H43">
            <v>23</v>
          </cell>
          <cell r="I43">
            <v>0</v>
          </cell>
          <cell r="J43">
            <v>0</v>
          </cell>
          <cell r="K43">
            <v>90</v>
          </cell>
          <cell r="L43">
            <v>23</v>
          </cell>
          <cell r="M43">
            <v>0</v>
          </cell>
          <cell r="N43">
            <v>0</v>
          </cell>
          <cell r="O43">
            <v>90</v>
          </cell>
          <cell r="P43">
            <v>23</v>
          </cell>
          <cell r="Q43">
            <v>0</v>
          </cell>
          <cell r="R43">
            <v>0</v>
          </cell>
        </row>
        <row r="44">
          <cell r="B44" t="str">
            <v>Sedneth 701</v>
          </cell>
          <cell r="C44">
            <v>35</v>
          </cell>
          <cell r="D44">
            <v>0</v>
          </cell>
          <cell r="E44">
            <v>0</v>
          </cell>
          <cell r="F44">
            <v>0</v>
          </cell>
          <cell r="G44">
            <v>35</v>
          </cell>
          <cell r="H44">
            <v>0</v>
          </cell>
          <cell r="I44">
            <v>0</v>
          </cell>
          <cell r="J44">
            <v>0</v>
          </cell>
          <cell r="K44">
            <v>35</v>
          </cell>
          <cell r="L44">
            <v>0</v>
          </cell>
          <cell r="M44">
            <v>0</v>
          </cell>
          <cell r="N44">
            <v>0</v>
          </cell>
          <cell r="O44">
            <v>35</v>
          </cell>
          <cell r="P44">
            <v>0</v>
          </cell>
          <cell r="Q44">
            <v>0</v>
          </cell>
          <cell r="R44">
            <v>0</v>
          </cell>
        </row>
        <row r="45">
          <cell r="B45" t="str">
            <v>GSF Arctic III</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row>
        <row r="46">
          <cell r="B46" t="str">
            <v>Transocean Driller</v>
          </cell>
          <cell r="C46">
            <v>0</v>
          </cell>
          <cell r="D46">
            <v>0</v>
          </cell>
          <cell r="E46">
            <v>0</v>
          </cell>
          <cell r="F46">
            <v>20</v>
          </cell>
          <cell r="G46">
            <v>0</v>
          </cell>
          <cell r="H46">
            <v>0</v>
          </cell>
          <cell r="I46">
            <v>0</v>
          </cell>
          <cell r="J46">
            <v>20</v>
          </cell>
          <cell r="K46">
            <v>0</v>
          </cell>
          <cell r="L46">
            <v>0</v>
          </cell>
          <cell r="M46">
            <v>0</v>
          </cell>
          <cell r="N46">
            <v>20</v>
          </cell>
          <cell r="O46">
            <v>0</v>
          </cell>
          <cell r="P46">
            <v>0</v>
          </cell>
          <cell r="Q46">
            <v>0</v>
          </cell>
          <cell r="R46">
            <v>20</v>
          </cell>
        </row>
        <row r="47">
          <cell r="B47" t="str">
            <v>Transocean John Shaw</v>
          </cell>
          <cell r="C47">
            <v>75</v>
          </cell>
          <cell r="D47">
            <v>0</v>
          </cell>
          <cell r="E47">
            <v>0</v>
          </cell>
          <cell r="F47">
            <v>0</v>
          </cell>
          <cell r="G47">
            <v>83</v>
          </cell>
          <cell r="H47">
            <v>23</v>
          </cell>
          <cell r="I47">
            <v>0</v>
          </cell>
          <cell r="J47">
            <v>0</v>
          </cell>
          <cell r="K47">
            <v>82</v>
          </cell>
          <cell r="L47">
            <v>0</v>
          </cell>
          <cell r="M47">
            <v>0</v>
          </cell>
          <cell r="N47">
            <v>0</v>
          </cell>
          <cell r="O47">
            <v>82</v>
          </cell>
          <cell r="P47">
            <v>0</v>
          </cell>
          <cell r="Q47">
            <v>0</v>
          </cell>
          <cell r="R47">
            <v>0</v>
          </cell>
        </row>
        <row r="48">
          <cell r="B48" t="str">
            <v>GSF Constellation I</v>
          </cell>
          <cell r="C48">
            <v>7</v>
          </cell>
          <cell r="D48">
            <v>0</v>
          </cell>
          <cell r="E48">
            <v>0</v>
          </cell>
          <cell r="F48">
            <v>0</v>
          </cell>
          <cell r="G48">
            <v>7</v>
          </cell>
          <cell r="H48">
            <v>0</v>
          </cell>
          <cell r="I48">
            <v>0</v>
          </cell>
          <cell r="J48">
            <v>0</v>
          </cell>
          <cell r="K48">
            <v>7</v>
          </cell>
          <cell r="L48">
            <v>0</v>
          </cell>
          <cell r="M48">
            <v>0</v>
          </cell>
          <cell r="N48">
            <v>0</v>
          </cell>
          <cell r="O48">
            <v>7</v>
          </cell>
          <cell r="P48">
            <v>0</v>
          </cell>
          <cell r="Q48">
            <v>0</v>
          </cell>
          <cell r="R48">
            <v>0</v>
          </cell>
        </row>
        <row r="49">
          <cell r="B49" t="str">
            <v>GSF Constellation II</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row>
        <row r="50">
          <cell r="B50" t="str">
            <v>Transocean Honor</v>
          </cell>
          <cell r="C50">
            <v>0</v>
          </cell>
          <cell r="D50">
            <v>0</v>
          </cell>
          <cell r="E50">
            <v>0</v>
          </cell>
          <cell r="F50">
            <v>9</v>
          </cell>
          <cell r="G50">
            <v>0</v>
          </cell>
          <cell r="H50">
            <v>0</v>
          </cell>
          <cell r="I50">
            <v>0</v>
          </cell>
          <cell r="J50">
            <v>9</v>
          </cell>
          <cell r="K50">
            <v>0</v>
          </cell>
          <cell r="L50">
            <v>0</v>
          </cell>
          <cell r="M50">
            <v>0</v>
          </cell>
          <cell r="N50">
            <v>3</v>
          </cell>
          <cell r="O50">
            <v>0</v>
          </cell>
          <cell r="P50">
            <v>0</v>
          </cell>
          <cell r="Q50">
            <v>0</v>
          </cell>
          <cell r="R50">
            <v>3</v>
          </cell>
        </row>
        <row r="51">
          <cell r="B51" t="str">
            <v>GSF Galaxy III</v>
          </cell>
          <cell r="C51">
            <v>0</v>
          </cell>
          <cell r="D51">
            <v>70</v>
          </cell>
          <cell r="E51">
            <v>14</v>
          </cell>
          <cell r="F51">
            <v>0</v>
          </cell>
          <cell r="G51">
            <v>0</v>
          </cell>
          <cell r="H51">
            <v>66</v>
          </cell>
          <cell r="I51">
            <v>11</v>
          </cell>
          <cell r="J51">
            <v>0</v>
          </cell>
          <cell r="K51">
            <v>0</v>
          </cell>
          <cell r="L51">
            <v>70</v>
          </cell>
          <cell r="M51">
            <v>14</v>
          </cell>
          <cell r="N51">
            <v>0</v>
          </cell>
          <cell r="O51">
            <v>0</v>
          </cell>
          <cell r="P51">
            <v>66</v>
          </cell>
          <cell r="Q51">
            <v>11</v>
          </cell>
          <cell r="R51">
            <v>0</v>
          </cell>
        </row>
        <row r="52">
          <cell r="B52" t="str">
            <v>GSF Magellan</v>
          </cell>
          <cell r="C52">
            <v>0</v>
          </cell>
          <cell r="D52">
            <v>21</v>
          </cell>
          <cell r="E52">
            <v>0</v>
          </cell>
          <cell r="F52">
            <v>0</v>
          </cell>
          <cell r="G52">
            <v>0</v>
          </cell>
          <cell r="H52">
            <v>21</v>
          </cell>
          <cell r="I52">
            <v>0</v>
          </cell>
          <cell r="J52">
            <v>0</v>
          </cell>
          <cell r="K52">
            <v>0</v>
          </cell>
          <cell r="L52">
            <v>21</v>
          </cell>
          <cell r="M52">
            <v>0</v>
          </cell>
          <cell r="N52">
            <v>0</v>
          </cell>
          <cell r="O52">
            <v>0</v>
          </cell>
          <cell r="P52">
            <v>21</v>
          </cell>
          <cell r="Q52">
            <v>0</v>
          </cell>
          <cell r="R52">
            <v>0</v>
          </cell>
        </row>
        <row r="53">
          <cell r="B53" t="str">
            <v>GSF Monitor</v>
          </cell>
          <cell r="C53">
            <v>0</v>
          </cell>
          <cell r="D53">
            <v>0</v>
          </cell>
          <cell r="E53">
            <v>0</v>
          </cell>
          <cell r="F53">
            <v>60</v>
          </cell>
          <cell r="G53">
            <v>0</v>
          </cell>
          <cell r="H53">
            <v>0</v>
          </cell>
          <cell r="I53">
            <v>0</v>
          </cell>
          <cell r="J53">
            <v>0</v>
          </cell>
          <cell r="K53">
            <v>0</v>
          </cell>
          <cell r="L53">
            <v>0</v>
          </cell>
          <cell r="M53">
            <v>0</v>
          </cell>
          <cell r="N53">
            <v>60</v>
          </cell>
          <cell r="O53">
            <v>0</v>
          </cell>
          <cell r="P53">
            <v>0</v>
          </cell>
          <cell r="Q53">
            <v>0</v>
          </cell>
          <cell r="R53">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pageSetUpPr fitToPage="1"/>
  </sheetPr>
  <dimension ref="A8:Q16"/>
  <sheetViews>
    <sheetView showGridLines="0" view="pageBreakPreview" zoomScale="40" zoomScaleSheetLayoutView="40" workbookViewId="0">
      <selection activeCell="A2" sqref="A2"/>
    </sheetView>
  </sheetViews>
  <sheetFormatPr baseColWidth="10" defaultColWidth="8.83203125" defaultRowHeight="12" x14ac:dyDescent="0"/>
  <cols>
    <col min="1" max="10" width="12.6640625" customWidth="1"/>
    <col min="11" max="11" width="14.5" customWidth="1"/>
    <col min="12" max="12" width="13.33203125" customWidth="1"/>
  </cols>
  <sheetData>
    <row r="8" spans="1:17" ht="54.75" customHeight="1"/>
    <row r="11" spans="1:17" ht="220" customHeight="1">
      <c r="A11" s="7" t="s">
        <v>51</v>
      </c>
      <c r="B11" s="7"/>
      <c r="C11" s="121"/>
      <c r="D11" s="7"/>
      <c r="E11" s="7"/>
      <c r="F11" s="7"/>
      <c r="G11" s="7"/>
      <c r="H11" s="7"/>
      <c r="I11" s="7"/>
      <c r="J11" s="7"/>
      <c r="K11" s="7"/>
      <c r="L11" s="7"/>
    </row>
    <row r="12" spans="1:17" ht="409.5" customHeight="1">
      <c r="A12" s="7"/>
      <c r="B12" s="7"/>
      <c r="C12" s="43"/>
      <c r="D12" s="7"/>
      <c r="E12" s="7"/>
      <c r="F12" s="7"/>
      <c r="G12" s="7"/>
      <c r="H12" s="7"/>
      <c r="I12" s="7"/>
      <c r="J12" s="7"/>
      <c r="K12" s="7"/>
      <c r="L12" s="7"/>
      <c r="Q12" s="41"/>
    </row>
    <row r="13" spans="1:17" ht="58.5" customHeight="1">
      <c r="A13" s="22"/>
      <c r="B13" s="22"/>
      <c r="C13" s="22"/>
      <c r="D13" s="22"/>
      <c r="E13" s="22"/>
      <c r="F13" s="22"/>
      <c r="G13" s="22"/>
      <c r="H13" s="22"/>
      <c r="I13" s="22"/>
      <c r="J13" s="22"/>
      <c r="K13" s="22"/>
      <c r="L13" s="22"/>
    </row>
    <row r="14" spans="1:17" ht="58.5" customHeight="1">
      <c r="A14" s="22"/>
      <c r="B14" s="22"/>
      <c r="C14" s="22"/>
      <c r="D14" s="22"/>
      <c r="E14" s="22"/>
      <c r="F14" s="22"/>
      <c r="G14" s="22"/>
      <c r="H14" s="23"/>
      <c r="I14" s="23"/>
      <c r="J14" s="23"/>
      <c r="K14" s="23"/>
      <c r="L14" s="23"/>
    </row>
    <row r="15" spans="1:17" ht="181.5" customHeight="1">
      <c r="A15" s="22"/>
      <c r="B15" s="22"/>
      <c r="C15" s="22"/>
      <c r="D15" s="22"/>
      <c r="E15" s="22"/>
      <c r="F15" s="22"/>
      <c r="G15" s="22"/>
      <c r="H15" s="23"/>
      <c r="I15" s="23"/>
      <c r="J15" s="23"/>
      <c r="K15" s="23"/>
      <c r="L15" s="23"/>
    </row>
    <row r="16" spans="1:17">
      <c r="A16" s="7"/>
      <c r="B16" s="7"/>
      <c r="C16" s="7"/>
      <c r="D16" s="7"/>
      <c r="E16" s="7"/>
      <c r="F16" s="7"/>
      <c r="G16" s="7"/>
      <c r="H16" s="7"/>
      <c r="I16" s="7"/>
      <c r="J16" s="7"/>
      <c r="K16" s="7"/>
      <c r="L16" s="7"/>
    </row>
  </sheetData>
  <pageMargins left="0.75" right="0.5" top="0.5" bottom="0.5" header="0.5" footer="0.5"/>
  <pageSetup scale="48" orientation="landscape"/>
  <headerFooter alignWithMargins="0"/>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autoPageBreaks="0"/>
  </sheetPr>
  <dimension ref="A1:AK64"/>
  <sheetViews>
    <sheetView tabSelected="1" view="pageBreakPreview" zoomScale="70" zoomScaleSheetLayoutView="70" workbookViewId="0">
      <pane xSplit="1" ySplit="9" topLeftCell="B10" activePane="bottomRight" state="frozen"/>
      <selection pane="topRight" activeCell="B1" sqref="B1"/>
      <selection pane="bottomLeft" activeCell="A10" sqref="A10"/>
      <selection pane="bottomRight" activeCell="F13" sqref="F12:F13"/>
    </sheetView>
  </sheetViews>
  <sheetFormatPr baseColWidth="10" defaultColWidth="8.83203125" defaultRowHeight="12" x14ac:dyDescent="0"/>
  <cols>
    <col min="1" max="1" width="45" style="7" customWidth="1"/>
    <col min="2" max="2" width="13.5" style="7" customWidth="1"/>
    <col min="3" max="3" width="11.6640625" style="7" customWidth="1"/>
    <col min="4" max="4" width="14.6640625" style="7" customWidth="1"/>
    <col min="5" max="5" width="14.5" style="7" customWidth="1"/>
    <col min="6" max="7" width="11.5" style="7" customWidth="1"/>
    <col min="8" max="8" width="13.1640625" style="7" customWidth="1"/>
    <col min="9" max="9" width="16.5" style="7" customWidth="1"/>
    <col min="10" max="10" width="17.83203125" style="7" customWidth="1"/>
    <col min="11" max="11" width="17.1640625" style="7" customWidth="1"/>
    <col min="12" max="12" width="21.83203125" style="7" customWidth="1"/>
    <col min="13" max="13" width="24" style="7" customWidth="1"/>
    <col min="14" max="14" width="2.6640625" style="36" customWidth="1"/>
    <col min="15" max="22" width="11.6640625" style="7" customWidth="1"/>
    <col min="23" max="23" width="9.1640625" style="7" customWidth="1"/>
    <col min="24" max="16384" width="8.83203125" style="7"/>
  </cols>
  <sheetData>
    <row r="1" spans="1:23" ht="41.25" customHeight="1">
      <c r="C1" s="43"/>
      <c r="E1" s="47"/>
      <c r="F1" s="47"/>
      <c r="H1" s="44"/>
    </row>
    <row r="2" spans="1:23" ht="13.5" customHeight="1">
      <c r="A2" s="45" t="s">
        <v>291</v>
      </c>
      <c r="B2" s="284"/>
      <c r="C2" s="281"/>
      <c r="K2" s="48"/>
      <c r="L2" s="48"/>
    </row>
    <row r="3" spans="1:23" ht="16.5" customHeight="1">
      <c r="A3" s="521" t="s">
        <v>205</v>
      </c>
      <c r="B3" s="521"/>
      <c r="C3" s="522"/>
      <c r="D3" s="522"/>
      <c r="E3" s="522"/>
      <c r="F3" s="522"/>
      <c r="G3" s="522"/>
      <c r="H3" s="522"/>
      <c r="I3" s="522"/>
      <c r="J3" s="522"/>
      <c r="K3" s="522"/>
      <c r="L3" s="522"/>
      <c r="M3" s="522"/>
      <c r="N3" s="417"/>
    </row>
    <row r="4" spans="1:23">
      <c r="A4" s="523" t="s">
        <v>95</v>
      </c>
      <c r="B4" s="523"/>
      <c r="C4" s="523"/>
      <c r="D4" s="523"/>
      <c r="E4" s="523"/>
      <c r="F4" s="523"/>
      <c r="G4" s="523"/>
      <c r="H4" s="523"/>
      <c r="I4" s="523"/>
      <c r="J4" s="523"/>
      <c r="K4" s="523"/>
      <c r="L4" s="523"/>
      <c r="M4" s="523"/>
      <c r="N4" s="417"/>
    </row>
    <row r="5" spans="1:23">
      <c r="A5" s="27"/>
      <c r="B5" s="27"/>
      <c r="C5" s="49"/>
      <c r="D5" s="49"/>
      <c r="E5" s="49"/>
      <c r="F5" s="49"/>
      <c r="G5" s="49"/>
      <c r="H5" s="49"/>
      <c r="I5" s="49"/>
      <c r="L5" s="4"/>
      <c r="M5" s="4"/>
      <c r="N5" s="4"/>
    </row>
    <row r="6" spans="1:23" s="36" customFormat="1" ht="15">
      <c r="A6" s="64"/>
      <c r="B6" s="97"/>
      <c r="C6" s="188"/>
      <c r="D6" s="66"/>
      <c r="E6" s="67" t="s">
        <v>134</v>
      </c>
      <c r="F6" s="68" t="s">
        <v>16</v>
      </c>
      <c r="G6" s="68" t="s">
        <v>130</v>
      </c>
      <c r="H6" s="69"/>
      <c r="I6" s="69"/>
      <c r="J6" s="68" t="s">
        <v>63</v>
      </c>
      <c r="K6" s="68" t="s">
        <v>63</v>
      </c>
      <c r="L6" s="68" t="s">
        <v>91</v>
      </c>
      <c r="M6" s="241" t="s">
        <v>91</v>
      </c>
      <c r="N6" s="252"/>
      <c r="O6" s="516" t="s">
        <v>233</v>
      </c>
      <c r="P6" s="516"/>
      <c r="Q6" s="516"/>
      <c r="R6" s="517"/>
      <c r="S6" s="515" t="s">
        <v>233</v>
      </c>
      <c r="T6" s="516"/>
      <c r="U6" s="516"/>
      <c r="V6" s="517"/>
    </row>
    <row r="7" spans="1:23" s="36" customFormat="1" ht="14.25" customHeight="1">
      <c r="A7" s="65"/>
      <c r="B7" s="98" t="s">
        <v>140</v>
      </c>
      <c r="C7" s="189" t="s">
        <v>54</v>
      </c>
      <c r="D7" s="70" t="s">
        <v>131</v>
      </c>
      <c r="E7" s="70" t="s">
        <v>62</v>
      </c>
      <c r="F7" s="70" t="s">
        <v>18</v>
      </c>
      <c r="G7" s="70" t="s">
        <v>18</v>
      </c>
      <c r="H7" s="71"/>
      <c r="I7" s="71"/>
      <c r="J7" s="72" t="s">
        <v>132</v>
      </c>
      <c r="K7" s="72" t="s">
        <v>136</v>
      </c>
      <c r="L7" s="77" t="s">
        <v>137</v>
      </c>
      <c r="M7" s="242" t="s">
        <v>138</v>
      </c>
      <c r="N7" s="235"/>
      <c r="O7" s="518">
        <v>2013</v>
      </c>
      <c r="P7" s="519"/>
      <c r="Q7" s="519"/>
      <c r="R7" s="520"/>
      <c r="S7" s="518">
        <v>2014</v>
      </c>
      <c r="T7" s="519"/>
      <c r="U7" s="519"/>
      <c r="V7" s="520"/>
    </row>
    <row r="8" spans="1:23" s="36" customFormat="1" ht="13.5" customHeight="1">
      <c r="A8" s="76" t="s">
        <v>15</v>
      </c>
      <c r="B8" s="99" t="s">
        <v>141</v>
      </c>
      <c r="C8" s="190" t="s">
        <v>55</v>
      </c>
      <c r="D8" s="191" t="s">
        <v>133</v>
      </c>
      <c r="E8" s="73" t="s">
        <v>19</v>
      </c>
      <c r="F8" s="74" t="s">
        <v>64</v>
      </c>
      <c r="G8" s="74" t="s">
        <v>64</v>
      </c>
      <c r="H8" s="75" t="s">
        <v>28</v>
      </c>
      <c r="I8" s="75" t="s">
        <v>82</v>
      </c>
      <c r="J8" s="73" t="s">
        <v>135</v>
      </c>
      <c r="K8" s="73" t="s">
        <v>139</v>
      </c>
      <c r="L8" s="74" t="s">
        <v>65</v>
      </c>
      <c r="M8" s="243" t="s">
        <v>65</v>
      </c>
      <c r="N8" s="253"/>
      <c r="O8" s="179" t="s">
        <v>209</v>
      </c>
      <c r="P8" s="78" t="s">
        <v>210</v>
      </c>
      <c r="Q8" s="78" t="s">
        <v>211</v>
      </c>
      <c r="R8" s="79" t="s">
        <v>208</v>
      </c>
      <c r="S8" s="179" t="s">
        <v>209</v>
      </c>
      <c r="T8" s="78" t="s">
        <v>210</v>
      </c>
      <c r="U8" s="78" t="s">
        <v>211</v>
      </c>
      <c r="V8" s="79" t="s">
        <v>208</v>
      </c>
    </row>
    <row r="9" spans="1:23" s="36" customFormat="1" ht="9" customHeight="1">
      <c r="A9" s="137"/>
      <c r="B9" s="137"/>
      <c r="C9" s="447"/>
      <c r="D9" s="50"/>
      <c r="E9" s="4"/>
      <c r="F9" s="4"/>
      <c r="G9" s="4"/>
      <c r="H9" s="4"/>
      <c r="I9" s="4"/>
      <c r="J9" s="4"/>
      <c r="K9" s="4"/>
      <c r="L9" s="4"/>
      <c r="M9" s="244"/>
      <c r="N9" s="4"/>
      <c r="O9" s="180"/>
      <c r="P9" s="37"/>
      <c r="Q9" s="37"/>
      <c r="R9" s="223"/>
      <c r="S9" s="180"/>
      <c r="T9" s="37"/>
      <c r="U9" s="37"/>
      <c r="V9" s="223"/>
    </row>
    <row r="10" spans="1:23" s="36" customFormat="1" ht="15">
      <c r="A10" s="201" t="s">
        <v>270</v>
      </c>
      <c r="B10" s="465"/>
      <c r="C10" s="93"/>
      <c r="D10" s="80"/>
      <c r="E10" s="81"/>
      <c r="F10" s="80"/>
      <c r="G10" s="80"/>
      <c r="H10" s="80"/>
      <c r="I10" s="80"/>
      <c r="J10" s="80"/>
      <c r="K10" s="80"/>
      <c r="L10" s="80"/>
      <c r="M10" s="245"/>
      <c r="N10" s="254"/>
      <c r="O10" s="87"/>
      <c r="P10" s="82"/>
      <c r="Q10" s="82"/>
      <c r="R10" s="92"/>
      <c r="S10" s="87"/>
      <c r="T10" s="82"/>
      <c r="U10" s="82"/>
      <c r="V10" s="92"/>
    </row>
    <row r="11" spans="1:23" s="36" customFormat="1" ht="6" customHeight="1">
      <c r="A11" s="137"/>
      <c r="B11" s="120"/>
      <c r="C11" s="4"/>
      <c r="D11" s="335"/>
      <c r="E11" s="4"/>
      <c r="F11" s="4"/>
      <c r="G11" s="4"/>
      <c r="H11" s="4"/>
      <c r="I11" s="4"/>
      <c r="J11" s="4"/>
      <c r="K11" s="4"/>
      <c r="L11" s="4"/>
      <c r="M11" s="244"/>
      <c r="N11" s="4"/>
      <c r="O11" s="38"/>
      <c r="P11" s="54"/>
      <c r="Q11" s="54"/>
      <c r="R11" s="162"/>
      <c r="S11" s="273"/>
      <c r="T11" s="54"/>
      <c r="U11" s="54"/>
      <c r="V11" s="162"/>
    </row>
    <row r="12" spans="1:23" s="36" customFormat="1" ht="14.25" customHeight="1">
      <c r="A12" s="395" t="s">
        <v>282</v>
      </c>
      <c r="B12" s="396">
        <v>-11</v>
      </c>
      <c r="C12" s="51"/>
      <c r="D12" s="141"/>
      <c r="E12" s="393" t="s">
        <v>66</v>
      </c>
      <c r="F12" s="394">
        <v>400</v>
      </c>
      <c r="G12" s="394">
        <v>35000</v>
      </c>
      <c r="H12" s="393" t="s">
        <v>66</v>
      </c>
      <c r="I12" s="146"/>
      <c r="J12" s="280"/>
      <c r="K12" s="146"/>
      <c r="L12" s="58"/>
      <c r="M12" s="246" t="s">
        <v>42</v>
      </c>
      <c r="N12" s="187"/>
      <c r="O12" s="275">
        <v>0</v>
      </c>
      <c r="P12" s="34">
        <v>0</v>
      </c>
      <c r="Q12" s="34">
        <v>0</v>
      </c>
      <c r="R12" s="142">
        <v>0</v>
      </c>
      <c r="S12" s="275"/>
      <c r="T12" s="34"/>
      <c r="U12" s="34"/>
      <c r="V12" s="142"/>
    </row>
    <row r="13" spans="1:23" s="229" customFormat="1" ht="14.25" customHeight="1">
      <c r="A13" s="425" t="s">
        <v>281</v>
      </c>
      <c r="B13" s="492">
        <v>-11</v>
      </c>
      <c r="C13" s="86"/>
      <c r="D13" s="163"/>
      <c r="E13" s="426" t="s">
        <v>66</v>
      </c>
      <c r="F13" s="427">
        <v>400</v>
      </c>
      <c r="G13" s="427">
        <v>35000</v>
      </c>
      <c r="H13" s="426" t="s">
        <v>66</v>
      </c>
      <c r="I13" s="147"/>
      <c r="J13" s="357"/>
      <c r="K13" s="147"/>
      <c r="L13" s="291"/>
      <c r="M13" s="307" t="s">
        <v>42</v>
      </c>
      <c r="N13" s="187"/>
      <c r="O13" s="274">
        <v>0</v>
      </c>
      <c r="P13" s="83">
        <v>0</v>
      </c>
      <c r="Q13" s="83">
        <v>0</v>
      </c>
      <c r="R13" s="139">
        <v>0</v>
      </c>
      <c r="S13" s="274"/>
      <c r="T13" s="83"/>
      <c r="U13" s="83"/>
      <c r="V13" s="139"/>
      <c r="W13" s="36"/>
    </row>
    <row r="14" spans="1:23" s="36" customFormat="1" ht="14.25" customHeight="1">
      <c r="A14" s="395" t="s">
        <v>283</v>
      </c>
      <c r="B14" s="396">
        <v>-11</v>
      </c>
      <c r="C14" s="51"/>
      <c r="D14" s="141"/>
      <c r="E14" s="393" t="s">
        <v>66</v>
      </c>
      <c r="F14" s="394">
        <v>400</v>
      </c>
      <c r="G14" s="394">
        <v>35000</v>
      </c>
      <c r="H14" s="393" t="s">
        <v>66</v>
      </c>
      <c r="I14" s="146"/>
      <c r="J14" s="280"/>
      <c r="K14" s="146"/>
      <c r="L14" s="58"/>
      <c r="M14" s="246" t="s">
        <v>42</v>
      </c>
      <c r="N14" s="187"/>
      <c r="O14" s="275">
        <v>0</v>
      </c>
      <c r="P14" s="34">
        <v>0</v>
      </c>
      <c r="Q14" s="34">
        <v>0</v>
      </c>
      <c r="R14" s="142">
        <v>0</v>
      </c>
      <c r="S14" s="275"/>
      <c r="T14" s="34"/>
      <c r="U14" s="34"/>
      <c r="V14" s="142"/>
    </row>
    <row r="15" spans="1:23" s="229" customFormat="1" ht="14.25" customHeight="1">
      <c r="A15" s="425" t="s">
        <v>284</v>
      </c>
      <c r="B15" s="492">
        <v>-11</v>
      </c>
      <c r="C15" s="86"/>
      <c r="D15" s="163"/>
      <c r="E15" s="426" t="s">
        <v>66</v>
      </c>
      <c r="F15" s="427">
        <v>400</v>
      </c>
      <c r="G15" s="427">
        <v>35000</v>
      </c>
      <c r="H15" s="426" t="s">
        <v>66</v>
      </c>
      <c r="I15" s="147"/>
      <c r="J15" s="357"/>
      <c r="K15" s="147"/>
      <c r="L15" s="131"/>
      <c r="M15" s="307" t="s">
        <v>42</v>
      </c>
      <c r="N15" s="187"/>
      <c r="O15" s="274">
        <v>0</v>
      </c>
      <c r="P15" s="83">
        <v>0</v>
      </c>
      <c r="Q15" s="83">
        <v>0</v>
      </c>
      <c r="R15" s="139">
        <v>0</v>
      </c>
      <c r="S15" s="274"/>
      <c r="T15" s="83"/>
      <c r="U15" s="83"/>
      <c r="V15" s="139"/>
      <c r="W15" s="36"/>
    </row>
    <row r="16" spans="1:23" s="5" customFormat="1" ht="14.25" customHeight="1">
      <c r="A16" s="448" t="s">
        <v>285</v>
      </c>
      <c r="B16" s="493">
        <v>-11</v>
      </c>
      <c r="C16" s="449"/>
      <c r="D16" s="450"/>
      <c r="E16" s="449" t="s">
        <v>66</v>
      </c>
      <c r="F16" s="451">
        <v>400</v>
      </c>
      <c r="G16" s="451">
        <v>35000</v>
      </c>
      <c r="H16" s="449" t="s">
        <v>66</v>
      </c>
      <c r="I16" s="452"/>
      <c r="J16" s="452"/>
      <c r="K16" s="452"/>
      <c r="L16" s="333"/>
      <c r="M16" s="494" t="s">
        <v>42</v>
      </c>
      <c r="N16" s="391"/>
      <c r="O16" s="277">
        <v>0</v>
      </c>
      <c r="P16" s="55">
        <v>0</v>
      </c>
      <c r="Q16" s="55">
        <v>0</v>
      </c>
      <c r="R16" s="155">
        <v>0</v>
      </c>
      <c r="S16" s="443"/>
      <c r="T16" s="444"/>
      <c r="U16" s="444"/>
      <c r="V16" s="445"/>
    </row>
    <row r="17" spans="1:37" s="36" customFormat="1" ht="6" customHeight="1">
      <c r="A17" s="140"/>
      <c r="B17" s="466"/>
      <c r="C17" s="50"/>
      <c r="D17" s="50"/>
      <c r="E17" s="50"/>
      <c r="F17" s="50"/>
      <c r="G17" s="50"/>
      <c r="H17" s="50"/>
      <c r="I17" s="50"/>
      <c r="J17" s="50"/>
      <c r="K17" s="50"/>
      <c r="L17" s="236"/>
      <c r="M17" s="464"/>
      <c r="N17" s="335"/>
      <c r="O17" s="446"/>
      <c r="P17" s="34"/>
      <c r="Q17" s="34"/>
      <c r="R17" s="142"/>
      <c r="S17" s="275"/>
      <c r="T17" s="34"/>
      <c r="U17" s="34"/>
      <c r="V17" s="34"/>
    </row>
    <row r="18" spans="1:37" s="5" customFormat="1" ht="15">
      <c r="A18" s="201" t="s">
        <v>151</v>
      </c>
      <c r="B18" s="467"/>
      <c r="C18" s="203"/>
      <c r="D18" s="204"/>
      <c r="E18" s="205"/>
      <c r="F18" s="204"/>
      <c r="G18" s="204"/>
      <c r="H18" s="204"/>
      <c r="I18" s="204"/>
      <c r="J18" s="257"/>
      <c r="K18" s="257"/>
      <c r="L18" s="264"/>
      <c r="M18" s="265"/>
      <c r="N18" s="255"/>
      <c r="O18" s="206"/>
      <c r="P18" s="82"/>
      <c r="Q18" s="82"/>
      <c r="R18" s="92"/>
      <c r="S18" s="87"/>
      <c r="T18" s="82"/>
      <c r="U18" s="82"/>
      <c r="V18" s="92"/>
    </row>
    <row r="19" spans="1:37" s="5" customFormat="1" ht="6" customHeight="1">
      <c r="A19" s="214"/>
      <c r="B19" s="215"/>
      <c r="C19" s="216"/>
      <c r="D19" s="216"/>
      <c r="E19" s="216"/>
      <c r="F19" s="216"/>
      <c r="G19" s="216"/>
      <c r="H19" s="216"/>
      <c r="I19" s="216"/>
      <c r="J19" s="258"/>
      <c r="K19" s="258"/>
      <c r="L19" s="266"/>
      <c r="M19" s="267"/>
      <c r="N19" s="256"/>
      <c r="O19" s="276"/>
      <c r="P19" s="217"/>
      <c r="Q19" s="217"/>
      <c r="R19" s="218"/>
      <c r="S19" s="317"/>
      <c r="T19" s="302"/>
      <c r="U19" s="302"/>
      <c r="V19" s="318"/>
    </row>
    <row r="20" spans="1:37" ht="14.25" customHeight="1">
      <c r="A20" s="338" t="s">
        <v>163</v>
      </c>
      <c r="B20" s="198">
        <v>-6</v>
      </c>
      <c r="C20" s="51" t="s">
        <v>52</v>
      </c>
      <c r="D20" s="145" t="s">
        <v>61</v>
      </c>
      <c r="E20" s="51">
        <v>1999</v>
      </c>
      <c r="F20" s="52">
        <v>10000</v>
      </c>
      <c r="G20" s="52">
        <v>35000</v>
      </c>
      <c r="H20" s="51" t="s">
        <v>29</v>
      </c>
      <c r="I20" s="51" t="s">
        <v>45</v>
      </c>
      <c r="J20" s="146">
        <v>41275</v>
      </c>
      <c r="K20" s="146">
        <v>41670</v>
      </c>
      <c r="L20" s="58">
        <v>515000</v>
      </c>
      <c r="M20" s="63">
        <v>523000</v>
      </c>
      <c r="N20" s="58"/>
      <c r="O20" s="275">
        <v>0</v>
      </c>
      <c r="P20" s="34">
        <v>0</v>
      </c>
      <c r="Q20" s="34">
        <v>0</v>
      </c>
      <c r="R20" s="142">
        <v>0</v>
      </c>
      <c r="S20" s="275">
        <v>0</v>
      </c>
      <c r="T20" s="34">
        <v>0</v>
      </c>
      <c r="U20" s="34">
        <v>0</v>
      </c>
      <c r="V20" s="142">
        <v>12</v>
      </c>
      <c r="AG20" s="456"/>
      <c r="AH20" s="456"/>
      <c r="AI20" s="456"/>
      <c r="AJ20" s="456"/>
      <c r="AK20" s="456"/>
    </row>
    <row r="21" spans="1:37" ht="14.25" customHeight="1">
      <c r="A21" s="338"/>
      <c r="B21" s="198"/>
      <c r="C21" s="51"/>
      <c r="D21" s="145"/>
      <c r="E21" s="51"/>
      <c r="F21" s="52"/>
      <c r="G21" s="52"/>
      <c r="H21" s="51" t="s">
        <v>29</v>
      </c>
      <c r="I21" s="51" t="s">
        <v>45</v>
      </c>
      <c r="J21" s="280">
        <f>+K20</f>
        <v>41670</v>
      </c>
      <c r="K21" s="280">
        <v>41943</v>
      </c>
      <c r="L21" s="279">
        <v>615000</v>
      </c>
      <c r="M21" s="63">
        <f>+L20</f>
        <v>515000</v>
      </c>
      <c r="N21" s="58"/>
      <c r="O21" s="275"/>
      <c r="P21" s="34"/>
      <c r="Q21" s="34"/>
      <c r="R21" s="142"/>
      <c r="S21" s="275"/>
      <c r="T21" s="34"/>
      <c r="U21" s="34"/>
      <c r="V21" s="142"/>
      <c r="AG21" s="456"/>
      <c r="AH21" s="456"/>
      <c r="AI21" s="456"/>
      <c r="AJ21" s="456"/>
      <c r="AK21" s="456"/>
    </row>
    <row r="22" spans="1:37" ht="14.25" customHeight="1">
      <c r="A22" s="511" t="s">
        <v>177</v>
      </c>
      <c r="B22" s="473">
        <v>-7</v>
      </c>
      <c r="C22" s="474" t="s">
        <v>53</v>
      </c>
      <c r="D22" s="503" t="s">
        <v>61</v>
      </c>
      <c r="E22" s="474">
        <v>2001</v>
      </c>
      <c r="F22" s="475">
        <v>7500</v>
      </c>
      <c r="G22" s="475">
        <v>35000</v>
      </c>
      <c r="H22" s="474" t="s">
        <v>34</v>
      </c>
      <c r="I22" s="474" t="s">
        <v>117</v>
      </c>
      <c r="J22" s="504">
        <v>41275</v>
      </c>
      <c r="K22" s="398">
        <v>41730</v>
      </c>
      <c r="L22" s="505">
        <v>600000</v>
      </c>
      <c r="M22" s="423">
        <v>500000</v>
      </c>
      <c r="N22" s="505"/>
      <c r="O22" s="478">
        <v>44.333333333333336</v>
      </c>
      <c r="P22" s="479">
        <v>0</v>
      </c>
      <c r="Q22" s="479">
        <v>14.291666666666666</v>
      </c>
      <c r="R22" s="482">
        <v>0</v>
      </c>
      <c r="S22" s="478">
        <v>0</v>
      </c>
      <c r="T22" s="479">
        <v>0</v>
      </c>
      <c r="U22" s="479">
        <v>0</v>
      </c>
      <c r="V22" s="482">
        <v>0</v>
      </c>
      <c r="AG22" s="456"/>
      <c r="AH22" s="456"/>
      <c r="AI22" s="456"/>
      <c r="AJ22" s="456"/>
      <c r="AK22" s="456"/>
    </row>
    <row r="23" spans="1:37" ht="14.25" customHeight="1">
      <c r="A23" s="512"/>
      <c r="B23" s="508" t="s">
        <v>5</v>
      </c>
      <c r="C23" s="474"/>
      <c r="D23" s="506"/>
      <c r="E23" s="474"/>
      <c r="F23" s="475"/>
      <c r="G23" s="475"/>
      <c r="H23" s="476" t="s">
        <v>34</v>
      </c>
      <c r="I23" s="476" t="s">
        <v>117</v>
      </c>
      <c r="J23" s="491">
        <v>41760</v>
      </c>
      <c r="K23" s="476">
        <v>41913</v>
      </c>
      <c r="L23" s="399">
        <v>455000</v>
      </c>
      <c r="M23" s="423">
        <v>600000</v>
      </c>
      <c r="N23" s="505"/>
      <c r="O23" s="478"/>
      <c r="P23" s="479"/>
      <c r="Q23" s="479"/>
      <c r="R23" s="482"/>
      <c r="S23" s="478"/>
      <c r="T23" s="479"/>
      <c r="U23" s="479"/>
      <c r="V23" s="482"/>
      <c r="AG23" s="456"/>
      <c r="AH23" s="456"/>
      <c r="AI23" s="456"/>
      <c r="AJ23" s="456"/>
      <c r="AK23" s="456"/>
    </row>
    <row r="24" spans="1:37" ht="14.25" customHeight="1">
      <c r="A24" s="513" t="s">
        <v>167</v>
      </c>
      <c r="B24" s="194"/>
      <c r="C24" s="51" t="s">
        <v>52</v>
      </c>
      <c r="D24" s="141" t="s">
        <v>61</v>
      </c>
      <c r="E24" s="51">
        <v>2000</v>
      </c>
      <c r="F24" s="52">
        <v>10000</v>
      </c>
      <c r="G24" s="52">
        <v>30000</v>
      </c>
      <c r="H24" s="393" t="s">
        <v>228</v>
      </c>
      <c r="I24" s="51"/>
      <c r="J24" s="166"/>
      <c r="K24" s="278" t="s">
        <v>250</v>
      </c>
      <c r="L24" s="213"/>
      <c r="M24" s="63"/>
      <c r="N24" s="58"/>
      <c r="O24" s="275">
        <v>0</v>
      </c>
      <c r="P24" s="34">
        <v>0</v>
      </c>
      <c r="Q24" s="34">
        <v>52.958333333333329</v>
      </c>
      <c r="R24" s="142">
        <v>31</v>
      </c>
      <c r="S24" s="275">
        <v>0</v>
      </c>
      <c r="T24" s="34">
        <v>0</v>
      </c>
      <c r="U24" s="34">
        <v>0</v>
      </c>
      <c r="V24" s="142">
        <v>0</v>
      </c>
      <c r="AG24" s="456"/>
      <c r="AH24" s="456"/>
      <c r="AI24" s="456"/>
      <c r="AJ24" s="456"/>
      <c r="AK24" s="456"/>
    </row>
    <row r="25" spans="1:37" ht="7.5" customHeight="1">
      <c r="A25" s="514"/>
      <c r="B25" s="507"/>
      <c r="C25" s="182"/>
      <c r="D25" s="450"/>
      <c r="E25" s="182"/>
      <c r="F25" s="183"/>
      <c r="G25" s="183"/>
      <c r="H25" s="316"/>
      <c r="I25" s="316"/>
      <c r="J25" s="331"/>
      <c r="K25" s="316"/>
      <c r="L25" s="333"/>
      <c r="M25" s="332"/>
      <c r="N25" s="58"/>
      <c r="O25" s="277"/>
      <c r="P25" s="55"/>
      <c r="Q25" s="55"/>
      <c r="R25" s="155"/>
      <c r="S25" s="277"/>
      <c r="T25" s="55"/>
      <c r="U25" s="55"/>
      <c r="V25" s="155"/>
      <c r="AG25" s="456"/>
      <c r="AH25" s="456"/>
      <c r="AI25" s="456"/>
      <c r="AJ25" s="456"/>
      <c r="AK25" s="456"/>
    </row>
    <row r="26" spans="1:37" s="36" customFormat="1" ht="6" customHeight="1">
      <c r="A26" s="212"/>
      <c r="B26" s="213"/>
      <c r="C26" s="51"/>
      <c r="D26" s="145"/>
      <c r="E26" s="51"/>
      <c r="F26" s="52"/>
      <c r="G26" s="52"/>
      <c r="H26" s="146"/>
      <c r="I26" s="146"/>
      <c r="J26" s="146"/>
      <c r="K26" s="146"/>
      <c r="L26" s="46"/>
      <c r="M26" s="270"/>
      <c r="N26" s="46"/>
      <c r="O26" s="446"/>
      <c r="P26" s="34"/>
      <c r="Q26" s="34"/>
      <c r="R26" s="142"/>
      <c r="S26" s="275"/>
      <c r="T26" s="34"/>
      <c r="U26" s="34"/>
      <c r="V26" s="34"/>
      <c r="AG26" s="455"/>
      <c r="AH26" s="455"/>
      <c r="AI26" s="455"/>
      <c r="AJ26" s="455"/>
      <c r="AK26" s="455"/>
    </row>
    <row r="27" spans="1:37" ht="15">
      <c r="A27" s="201" t="s">
        <v>222</v>
      </c>
      <c r="B27" s="468"/>
      <c r="C27" s="203"/>
      <c r="D27" s="204"/>
      <c r="E27" s="205"/>
      <c r="F27" s="204"/>
      <c r="G27" s="204"/>
      <c r="H27" s="204"/>
      <c r="I27" s="204"/>
      <c r="J27" s="257"/>
      <c r="K27" s="257"/>
      <c r="L27" s="264"/>
      <c r="M27" s="265"/>
      <c r="N27" s="255"/>
      <c r="O27" s="272"/>
      <c r="P27" s="239"/>
      <c r="Q27" s="239"/>
      <c r="R27" s="237"/>
      <c r="S27" s="206"/>
      <c r="T27" s="82"/>
      <c r="U27" s="82"/>
      <c r="V27" s="92"/>
      <c r="AG27" s="456"/>
      <c r="AH27" s="456"/>
      <c r="AI27" s="456"/>
      <c r="AJ27" s="456"/>
      <c r="AK27" s="456"/>
    </row>
    <row r="28" spans="1:37" s="36" customFormat="1" ht="6" customHeight="1">
      <c r="A28" s="161"/>
      <c r="B28" s="198"/>
      <c r="C28" s="156"/>
      <c r="D28" s="156"/>
      <c r="E28" s="157"/>
      <c r="F28" s="158"/>
      <c r="G28" s="158"/>
      <c r="H28" s="159"/>
      <c r="I28" s="146"/>
      <c r="J28" s="146"/>
      <c r="K28" s="146"/>
      <c r="L28" s="160"/>
      <c r="M28" s="247"/>
      <c r="N28" s="160"/>
      <c r="O28" s="38"/>
      <c r="P28" s="39"/>
      <c r="Q28" s="39">
        <v>0</v>
      </c>
      <c r="R28" s="181"/>
      <c r="S28" s="273"/>
      <c r="T28" s="54"/>
      <c r="U28" s="54"/>
      <c r="V28" s="162"/>
      <c r="AG28" s="455"/>
      <c r="AH28" s="455"/>
      <c r="AI28" s="455"/>
      <c r="AJ28" s="455"/>
      <c r="AK28" s="455"/>
    </row>
    <row r="29" spans="1:37" s="36" customFormat="1" ht="25.5" customHeight="1">
      <c r="A29" s="509" t="s">
        <v>180</v>
      </c>
      <c r="B29" s="473"/>
      <c r="C29" s="474" t="s">
        <v>53</v>
      </c>
      <c r="D29" s="506"/>
      <c r="E29" s="474" t="s">
        <v>226</v>
      </c>
      <c r="F29" s="475">
        <v>7000</v>
      </c>
      <c r="G29" s="475">
        <v>30000</v>
      </c>
      <c r="H29" s="397" t="s">
        <v>286</v>
      </c>
      <c r="I29" s="474"/>
      <c r="J29" s="476"/>
      <c r="K29" s="476"/>
      <c r="L29" s="505"/>
      <c r="M29" s="423"/>
      <c r="N29" s="505"/>
      <c r="O29" s="478">
        <v>61.958333333333343</v>
      </c>
      <c r="P29" s="479">
        <v>0</v>
      </c>
      <c r="Q29" s="479">
        <v>0</v>
      </c>
      <c r="R29" s="482">
        <v>45</v>
      </c>
      <c r="S29" s="478">
        <v>0</v>
      </c>
      <c r="T29" s="479">
        <v>0</v>
      </c>
      <c r="U29" s="479">
        <v>0</v>
      </c>
      <c r="V29" s="480">
        <v>30</v>
      </c>
      <c r="AG29" s="455"/>
      <c r="AH29" s="455"/>
      <c r="AI29" s="455"/>
      <c r="AJ29" s="455"/>
      <c r="AK29" s="455"/>
    </row>
    <row r="30" spans="1:37" ht="14.25" customHeight="1">
      <c r="A30" s="431" t="s">
        <v>92</v>
      </c>
      <c r="B30" s="250"/>
      <c r="C30" s="51" t="s">
        <v>53</v>
      </c>
      <c r="D30" s="51"/>
      <c r="E30" s="51" t="s">
        <v>71</v>
      </c>
      <c r="F30" s="52">
        <v>5750</v>
      </c>
      <c r="G30" s="52">
        <v>25000</v>
      </c>
      <c r="H30" s="51" t="s">
        <v>39</v>
      </c>
      <c r="I30" s="51" t="s">
        <v>59</v>
      </c>
      <c r="J30" s="166">
        <v>41487</v>
      </c>
      <c r="K30" s="166">
        <v>41852</v>
      </c>
      <c r="L30" s="213">
        <v>328000</v>
      </c>
      <c r="M30" s="194">
        <v>324000</v>
      </c>
      <c r="N30" s="213"/>
      <c r="O30" s="275">
        <v>0</v>
      </c>
      <c r="P30" s="34">
        <v>0</v>
      </c>
      <c r="Q30" s="34">
        <v>0</v>
      </c>
      <c r="R30" s="142">
        <v>0</v>
      </c>
      <c r="S30" s="275">
        <v>0</v>
      </c>
      <c r="T30" s="34">
        <v>0</v>
      </c>
      <c r="U30" s="37">
        <v>4</v>
      </c>
      <c r="V30" s="223">
        <v>38</v>
      </c>
      <c r="AG30" s="456"/>
      <c r="AH30" s="456"/>
      <c r="AI30" s="456"/>
      <c r="AJ30" s="456"/>
      <c r="AK30" s="456"/>
    </row>
    <row r="31" spans="1:37" ht="14.25" customHeight="1">
      <c r="A31" s="154"/>
      <c r="B31" s="250"/>
      <c r="C31" s="51"/>
      <c r="D31" s="51"/>
      <c r="E31" s="51"/>
      <c r="F31" s="52"/>
      <c r="G31" s="52"/>
      <c r="H31" s="51" t="s">
        <v>39</v>
      </c>
      <c r="I31" s="51" t="s">
        <v>59</v>
      </c>
      <c r="J31" s="166">
        <v>41852</v>
      </c>
      <c r="K31" s="278">
        <v>41883</v>
      </c>
      <c r="L31" s="213">
        <v>332000</v>
      </c>
      <c r="M31" s="194">
        <v>328000</v>
      </c>
      <c r="N31" s="213"/>
      <c r="O31" s="275"/>
      <c r="P31" s="34"/>
      <c r="Q31" s="34"/>
      <c r="R31" s="142"/>
      <c r="S31" s="275"/>
      <c r="T31" s="34"/>
      <c r="U31" s="34"/>
      <c r="V31" s="142"/>
      <c r="AG31" s="456"/>
      <c r="AH31" s="456"/>
      <c r="AI31" s="456"/>
      <c r="AJ31" s="456"/>
      <c r="AK31" s="456"/>
    </row>
    <row r="32" spans="1:37" ht="14.25" customHeight="1">
      <c r="A32" s="363" t="s">
        <v>47</v>
      </c>
      <c r="B32" s="132">
        <v>-7</v>
      </c>
      <c r="C32" s="86" t="s">
        <v>53</v>
      </c>
      <c r="D32" s="86"/>
      <c r="E32" s="86" t="s">
        <v>48</v>
      </c>
      <c r="F32" s="143">
        <v>5400</v>
      </c>
      <c r="G32" s="143">
        <v>30000</v>
      </c>
      <c r="H32" s="86" t="s">
        <v>38</v>
      </c>
      <c r="I32" s="86" t="s">
        <v>245</v>
      </c>
      <c r="J32" s="346">
        <v>41603</v>
      </c>
      <c r="K32" s="346">
        <v>41692</v>
      </c>
      <c r="L32" s="228">
        <v>525000</v>
      </c>
      <c r="M32" s="234">
        <v>380000</v>
      </c>
      <c r="N32" s="58"/>
      <c r="O32" s="274">
        <v>0</v>
      </c>
      <c r="P32" s="83">
        <v>0</v>
      </c>
      <c r="Q32" s="83">
        <v>0</v>
      </c>
      <c r="R32" s="498">
        <v>5</v>
      </c>
      <c r="S32" s="274">
        <v>0</v>
      </c>
      <c r="T32" s="470">
        <v>4</v>
      </c>
      <c r="U32" s="470">
        <v>6</v>
      </c>
      <c r="V32" s="139">
        <v>0</v>
      </c>
      <c r="AG32" s="456"/>
      <c r="AH32" s="456"/>
      <c r="AI32" s="456"/>
      <c r="AJ32" s="456"/>
      <c r="AK32" s="456"/>
    </row>
    <row r="33" spans="1:37" s="36" customFormat="1" ht="15.75" customHeight="1">
      <c r="A33" s="500"/>
      <c r="B33" s="408"/>
      <c r="C33" s="298"/>
      <c r="D33" s="298"/>
      <c r="E33" s="298"/>
      <c r="F33" s="299"/>
      <c r="G33" s="299"/>
      <c r="H33" s="298" t="s">
        <v>38</v>
      </c>
      <c r="I33" s="298" t="s">
        <v>126</v>
      </c>
      <c r="J33" s="438">
        <v>41723</v>
      </c>
      <c r="K33" s="438">
        <v>41812</v>
      </c>
      <c r="L33" s="499">
        <v>380000</v>
      </c>
      <c r="M33" s="301">
        <v>525000</v>
      </c>
      <c r="N33" s="58"/>
      <c r="O33" s="319" t="s">
        <v>51</v>
      </c>
      <c r="P33" s="320" t="s">
        <v>51</v>
      </c>
      <c r="Q33" s="320"/>
      <c r="R33" s="321"/>
      <c r="S33" s="319"/>
      <c r="T33" s="501"/>
      <c r="U33" s="501"/>
      <c r="V33" s="321"/>
      <c r="AG33" s="455"/>
      <c r="AH33" s="455"/>
      <c r="AI33" s="455"/>
      <c r="AJ33" s="455"/>
      <c r="AK33" s="455"/>
    </row>
    <row r="34" spans="1:37" s="36" customFormat="1" ht="8.25" customHeight="1">
      <c r="A34" s="495"/>
      <c r="B34" s="496"/>
      <c r="C34" s="182"/>
      <c r="D34" s="182"/>
      <c r="E34" s="182"/>
      <c r="F34" s="183"/>
      <c r="G34" s="183"/>
      <c r="H34" s="182"/>
      <c r="I34" s="182"/>
      <c r="J34" s="331"/>
      <c r="K34" s="331"/>
      <c r="L34" s="497"/>
      <c r="M34" s="332"/>
      <c r="N34" s="58"/>
      <c r="O34" s="277"/>
      <c r="P34" s="55"/>
      <c r="Q34" s="55"/>
      <c r="R34" s="155"/>
      <c r="S34" s="277"/>
      <c r="T34" s="55"/>
      <c r="U34" s="55"/>
      <c r="V34" s="155"/>
      <c r="AG34" s="455"/>
      <c r="AH34" s="455"/>
      <c r="AI34" s="455"/>
      <c r="AJ34" s="455"/>
      <c r="AK34" s="455"/>
    </row>
    <row r="35" spans="1:37" s="36" customFormat="1" ht="15">
      <c r="A35" s="201" t="s">
        <v>152</v>
      </c>
      <c r="B35" s="468"/>
      <c r="C35" s="203"/>
      <c r="D35" s="204"/>
      <c r="E35" s="205"/>
      <c r="F35" s="204"/>
      <c r="G35" s="204"/>
      <c r="H35" s="204"/>
      <c r="I35" s="204"/>
      <c r="J35" s="257"/>
      <c r="K35" s="257"/>
      <c r="L35" s="264"/>
      <c r="M35" s="265"/>
      <c r="N35" s="255"/>
      <c r="O35" s="272"/>
      <c r="P35" s="238"/>
      <c r="Q35" s="238"/>
      <c r="R35" s="240"/>
      <c r="S35" s="206"/>
      <c r="T35" s="82"/>
      <c r="U35" s="82"/>
      <c r="V35" s="92"/>
      <c r="AG35" s="455"/>
      <c r="AH35" s="455"/>
      <c r="AI35" s="455"/>
      <c r="AJ35" s="455"/>
      <c r="AK35" s="455"/>
    </row>
    <row r="36" spans="1:37" s="5" customFormat="1" ht="6" customHeight="1">
      <c r="A36" s="161"/>
      <c r="B36" s="198"/>
      <c r="C36" s="156"/>
      <c r="D36" s="156"/>
      <c r="E36" s="157"/>
      <c r="F36" s="158"/>
      <c r="G36" s="158"/>
      <c r="H36" s="159"/>
      <c r="I36" s="146"/>
      <c r="J36" s="146"/>
      <c r="K36" s="146"/>
      <c r="L36" s="160"/>
      <c r="M36" s="247"/>
      <c r="N36" s="160"/>
      <c r="O36" s="273"/>
      <c r="P36" s="33"/>
      <c r="Q36" s="34">
        <v>0</v>
      </c>
      <c r="R36" s="142"/>
      <c r="S36" s="34"/>
      <c r="T36" s="34"/>
      <c r="U36" s="34"/>
      <c r="V36" s="392"/>
      <c r="AG36" s="459"/>
      <c r="AH36" s="459"/>
      <c r="AI36" s="459"/>
      <c r="AJ36" s="459"/>
      <c r="AK36" s="459"/>
    </row>
    <row r="37" spans="1:37" s="36" customFormat="1" ht="14.25" customHeight="1">
      <c r="A37" s="431" t="s">
        <v>186</v>
      </c>
      <c r="B37" s="250" t="s">
        <v>145</v>
      </c>
      <c r="C37" s="51" t="s">
        <v>53</v>
      </c>
      <c r="D37" s="51"/>
      <c r="E37" s="51">
        <v>1985</v>
      </c>
      <c r="F37" s="52">
        <v>1500</v>
      </c>
      <c r="G37" s="52">
        <v>25000</v>
      </c>
      <c r="H37" s="51" t="s">
        <v>32</v>
      </c>
      <c r="I37" s="51" t="s">
        <v>81</v>
      </c>
      <c r="J37" s="146">
        <v>40210</v>
      </c>
      <c r="K37" s="280">
        <v>41699</v>
      </c>
      <c r="L37" s="58">
        <v>522000</v>
      </c>
      <c r="M37" s="63">
        <v>309000</v>
      </c>
      <c r="N37" s="58"/>
      <c r="O37" s="275">
        <v>0</v>
      </c>
      <c r="P37" s="34">
        <v>0</v>
      </c>
      <c r="Q37" s="34">
        <v>0</v>
      </c>
      <c r="R37" s="34">
        <v>0</v>
      </c>
      <c r="S37" s="180">
        <v>21</v>
      </c>
      <c r="T37" s="37">
        <v>91</v>
      </c>
      <c r="U37" s="37">
        <v>15</v>
      </c>
      <c r="V37" s="142">
        <v>0</v>
      </c>
      <c r="AG37" s="455"/>
      <c r="AH37" s="455"/>
      <c r="AI37" s="455"/>
      <c r="AJ37" s="455"/>
      <c r="AK37" s="455"/>
    </row>
    <row r="38" spans="1:37" s="36" customFormat="1" ht="14.25" customHeight="1">
      <c r="A38" s="154"/>
      <c r="B38" s="250" t="s">
        <v>287</v>
      </c>
      <c r="C38" s="51"/>
      <c r="D38" s="51"/>
      <c r="E38" s="51"/>
      <c r="F38" s="52"/>
      <c r="G38" s="52"/>
      <c r="H38" s="393" t="s">
        <v>272</v>
      </c>
      <c r="I38" s="393" t="s">
        <v>35</v>
      </c>
      <c r="J38" s="280">
        <v>41836</v>
      </c>
      <c r="K38" s="280">
        <v>41943</v>
      </c>
      <c r="L38" s="279">
        <v>620000</v>
      </c>
      <c r="M38" s="63">
        <v>522000</v>
      </c>
      <c r="N38" s="58"/>
      <c r="O38" s="275"/>
      <c r="P38" s="34"/>
      <c r="Q38" s="34"/>
      <c r="R38" s="142"/>
      <c r="S38" s="34"/>
      <c r="T38" s="34"/>
      <c r="U38" s="34"/>
      <c r="V38" s="142"/>
      <c r="AG38" s="455"/>
      <c r="AH38" s="455"/>
      <c r="AI38" s="455"/>
      <c r="AJ38" s="455"/>
      <c r="AK38" s="455"/>
    </row>
    <row r="39" spans="1:37" s="36" customFormat="1" ht="14.25" customHeight="1">
      <c r="A39" s="154"/>
      <c r="B39" s="250" t="s">
        <v>287</v>
      </c>
      <c r="C39" s="51"/>
      <c r="D39" s="51"/>
      <c r="E39" s="51"/>
      <c r="F39" s="52"/>
      <c r="G39" s="52"/>
      <c r="H39" s="393" t="s">
        <v>272</v>
      </c>
      <c r="I39" s="393" t="s">
        <v>35</v>
      </c>
      <c r="J39" s="280">
        <v>41944</v>
      </c>
      <c r="K39" s="280">
        <v>42185</v>
      </c>
      <c r="L39" s="279">
        <v>589000</v>
      </c>
      <c r="M39" s="471">
        <f>L38</f>
        <v>620000</v>
      </c>
      <c r="N39" s="58"/>
      <c r="O39" s="275"/>
      <c r="P39" s="34"/>
      <c r="Q39" s="34"/>
      <c r="R39" s="142"/>
      <c r="S39" s="34"/>
      <c r="T39" s="34"/>
      <c r="U39" s="34"/>
      <c r="V39" s="142"/>
      <c r="AG39" s="455"/>
      <c r="AH39" s="455"/>
      <c r="AI39" s="455"/>
      <c r="AJ39" s="455"/>
      <c r="AK39" s="455"/>
    </row>
    <row r="40" spans="1:37" s="36" customFormat="1" ht="14.25" customHeight="1">
      <c r="A40" s="154"/>
      <c r="B40" s="250" t="s">
        <v>287</v>
      </c>
      <c r="C40" s="51"/>
      <c r="D40" s="51"/>
      <c r="E40" s="51"/>
      <c r="F40" s="52"/>
      <c r="G40" s="52"/>
      <c r="H40" s="393" t="s">
        <v>272</v>
      </c>
      <c r="I40" s="393" t="s">
        <v>35</v>
      </c>
      <c r="J40" s="280">
        <v>42186</v>
      </c>
      <c r="K40" s="280">
        <v>42308</v>
      </c>
      <c r="L40" s="279">
        <v>620000</v>
      </c>
      <c r="M40" s="471">
        <f t="shared" ref="M40:M43" si="0">L39</f>
        <v>589000</v>
      </c>
      <c r="N40" s="58"/>
      <c r="O40" s="275"/>
      <c r="P40" s="34"/>
      <c r="Q40" s="34"/>
      <c r="R40" s="142"/>
      <c r="S40" s="34"/>
      <c r="T40" s="34"/>
      <c r="U40" s="34"/>
      <c r="V40" s="142"/>
      <c r="AG40" s="455"/>
      <c r="AH40" s="455"/>
      <c r="AI40" s="455"/>
      <c r="AJ40" s="455"/>
      <c r="AK40" s="455"/>
    </row>
    <row r="41" spans="1:37" s="36" customFormat="1" ht="14.25" customHeight="1">
      <c r="A41" s="154"/>
      <c r="B41" s="250" t="s">
        <v>287</v>
      </c>
      <c r="C41" s="51"/>
      <c r="D41" s="51"/>
      <c r="E41" s="51"/>
      <c r="F41" s="52"/>
      <c r="G41" s="52"/>
      <c r="H41" s="393" t="s">
        <v>272</v>
      </c>
      <c r="I41" s="393" t="s">
        <v>35</v>
      </c>
      <c r="J41" s="280">
        <v>42309</v>
      </c>
      <c r="K41" s="280">
        <v>42551</v>
      </c>
      <c r="L41" s="279">
        <v>589000</v>
      </c>
      <c r="M41" s="471">
        <f t="shared" si="0"/>
        <v>620000</v>
      </c>
      <c r="N41" s="58"/>
      <c r="O41" s="275"/>
      <c r="P41" s="34"/>
      <c r="Q41" s="34"/>
      <c r="R41" s="142"/>
      <c r="S41" s="34"/>
      <c r="T41" s="34"/>
      <c r="U41" s="34"/>
      <c r="V41" s="142"/>
      <c r="AG41" s="455"/>
      <c r="AH41" s="455"/>
      <c r="AI41" s="455"/>
      <c r="AJ41" s="455"/>
      <c r="AK41" s="455"/>
    </row>
    <row r="42" spans="1:37" s="36" customFormat="1" ht="14.25" customHeight="1">
      <c r="A42" s="154"/>
      <c r="B42" s="250" t="s">
        <v>287</v>
      </c>
      <c r="C42" s="51"/>
      <c r="D42" s="51"/>
      <c r="E42" s="51"/>
      <c r="F42" s="52"/>
      <c r="G42" s="52"/>
      <c r="H42" s="393" t="s">
        <v>272</v>
      </c>
      <c r="I42" s="393" t="s">
        <v>35</v>
      </c>
      <c r="J42" s="280">
        <v>42552</v>
      </c>
      <c r="K42" s="280">
        <v>42674</v>
      </c>
      <c r="L42" s="279">
        <v>620000</v>
      </c>
      <c r="M42" s="471">
        <f t="shared" si="0"/>
        <v>589000</v>
      </c>
      <c r="N42" s="58"/>
      <c r="O42" s="275"/>
      <c r="P42" s="34"/>
      <c r="Q42" s="34"/>
      <c r="R42" s="142"/>
      <c r="S42" s="34"/>
      <c r="T42" s="34"/>
      <c r="U42" s="34"/>
      <c r="V42" s="142"/>
      <c r="AG42" s="455"/>
      <c r="AH42" s="455"/>
      <c r="AI42" s="455"/>
      <c r="AJ42" s="455"/>
      <c r="AK42" s="455"/>
    </row>
    <row r="43" spans="1:37" s="36" customFormat="1" ht="14.25" customHeight="1">
      <c r="A43" s="472"/>
      <c r="B43" s="330" t="s">
        <v>287</v>
      </c>
      <c r="C43" s="182"/>
      <c r="D43" s="182"/>
      <c r="E43" s="182"/>
      <c r="F43" s="183"/>
      <c r="G43" s="183"/>
      <c r="H43" s="449" t="s">
        <v>272</v>
      </c>
      <c r="I43" s="449" t="s">
        <v>35</v>
      </c>
      <c r="J43" s="452">
        <v>42675</v>
      </c>
      <c r="K43" s="452">
        <v>42916</v>
      </c>
      <c r="L43" s="333">
        <v>589000</v>
      </c>
      <c r="M43" s="429">
        <f t="shared" si="0"/>
        <v>620000</v>
      </c>
      <c r="N43" s="58"/>
      <c r="O43" s="277"/>
      <c r="P43" s="55"/>
      <c r="Q43" s="55"/>
      <c r="R43" s="155"/>
      <c r="S43" s="55"/>
      <c r="T43" s="55"/>
      <c r="U43" s="55"/>
      <c r="V43" s="155"/>
      <c r="AG43" s="455"/>
      <c r="AH43" s="455"/>
      <c r="AI43" s="455"/>
      <c r="AJ43" s="455"/>
      <c r="AK43" s="455"/>
    </row>
    <row r="44" spans="1:37" s="36" customFormat="1" ht="6" customHeight="1">
      <c r="A44" s="193"/>
      <c r="B44" s="58"/>
      <c r="C44" s="184"/>
      <c r="D44" s="156"/>
      <c r="E44" s="157"/>
      <c r="F44" s="158"/>
      <c r="G44" s="158"/>
      <c r="H44" s="159"/>
      <c r="I44" s="146"/>
      <c r="J44" s="261"/>
      <c r="K44" s="146"/>
      <c r="L44" s="160"/>
      <c r="M44" s="271"/>
      <c r="N44" s="160"/>
      <c r="O44" s="442"/>
      <c r="P44" s="54"/>
      <c r="Q44" s="54"/>
      <c r="R44" s="54"/>
      <c r="S44" s="54"/>
      <c r="T44" s="54"/>
      <c r="U44" s="54"/>
      <c r="V44" s="54"/>
      <c r="AG44" s="455"/>
      <c r="AH44" s="455"/>
      <c r="AI44" s="455"/>
      <c r="AJ44" s="455"/>
      <c r="AK44" s="455"/>
    </row>
    <row r="45" spans="1:37" s="36" customFormat="1" ht="14.25" customHeight="1">
      <c r="A45" s="201" t="s">
        <v>80</v>
      </c>
      <c r="B45" s="468"/>
      <c r="C45" s="203"/>
      <c r="D45" s="204"/>
      <c r="E45" s="205"/>
      <c r="F45" s="204"/>
      <c r="G45" s="204"/>
      <c r="H45" s="204"/>
      <c r="I45" s="204"/>
      <c r="J45" s="257"/>
      <c r="K45" s="257"/>
      <c r="L45" s="264"/>
      <c r="M45" s="265"/>
      <c r="N45" s="255"/>
      <c r="O45" s="272"/>
      <c r="P45" s="239"/>
      <c r="Q45" s="239"/>
      <c r="R45" s="237"/>
      <c r="S45" s="206"/>
      <c r="T45" s="82"/>
      <c r="U45" s="82"/>
      <c r="V45" s="92"/>
      <c r="AG45" s="455"/>
      <c r="AH45" s="455"/>
      <c r="AI45" s="455"/>
      <c r="AJ45" s="455"/>
      <c r="AK45" s="455"/>
    </row>
    <row r="46" spans="1:37" s="36" customFormat="1" ht="6" customHeight="1">
      <c r="A46" s="161"/>
      <c r="B46" s="198"/>
      <c r="C46" s="156"/>
      <c r="D46" s="156"/>
      <c r="E46" s="157"/>
      <c r="F46" s="158"/>
      <c r="G46" s="158"/>
      <c r="H46" s="159"/>
      <c r="I46" s="146"/>
      <c r="J46" s="146"/>
      <c r="K46" s="146"/>
      <c r="L46" s="160"/>
      <c r="M46" s="247"/>
      <c r="N46" s="160"/>
      <c r="O46" s="273"/>
      <c r="P46" s="54"/>
      <c r="Q46" s="54">
        <v>0</v>
      </c>
      <c r="R46" s="162"/>
      <c r="S46" s="54"/>
      <c r="T46" s="54"/>
      <c r="U46" s="54"/>
      <c r="V46" s="162"/>
      <c r="AG46" s="455"/>
      <c r="AH46" s="455"/>
      <c r="AI46" s="455"/>
      <c r="AJ46" s="455"/>
      <c r="AK46" s="455"/>
    </row>
    <row r="47" spans="1:37" s="36" customFormat="1">
      <c r="A47" s="510" t="s">
        <v>190</v>
      </c>
      <c r="B47" s="473">
        <v>-7</v>
      </c>
      <c r="C47" s="474" t="s">
        <v>53</v>
      </c>
      <c r="D47" s="474"/>
      <c r="E47" s="474">
        <v>1982</v>
      </c>
      <c r="F47" s="475">
        <v>1800</v>
      </c>
      <c r="G47" s="475">
        <v>25000</v>
      </c>
      <c r="H47" s="474" t="s">
        <v>30</v>
      </c>
      <c r="I47" s="474" t="s">
        <v>127</v>
      </c>
      <c r="J47" s="476">
        <v>41518</v>
      </c>
      <c r="K47" s="491">
        <v>41974</v>
      </c>
      <c r="L47" s="399">
        <v>363000</v>
      </c>
      <c r="M47" s="423">
        <v>360000</v>
      </c>
      <c r="N47" s="328"/>
      <c r="O47" s="478">
        <v>0</v>
      </c>
      <c r="P47" s="479">
        <v>0</v>
      </c>
      <c r="Q47" s="479">
        <v>0</v>
      </c>
      <c r="R47" s="480">
        <v>16</v>
      </c>
      <c r="S47" s="481">
        <v>90</v>
      </c>
      <c r="T47" s="479">
        <v>0</v>
      </c>
      <c r="U47" s="479">
        <v>0</v>
      </c>
      <c r="V47" s="482">
        <v>0</v>
      </c>
      <c r="AG47" s="455"/>
      <c r="AH47" s="455"/>
      <c r="AI47" s="455"/>
      <c r="AJ47" s="455"/>
      <c r="AK47" s="455"/>
    </row>
    <row r="48" spans="1:37" s="36" customFormat="1">
      <c r="A48" s="477"/>
      <c r="B48" s="473">
        <v>-7</v>
      </c>
      <c r="C48" s="474"/>
      <c r="D48" s="474"/>
      <c r="E48" s="474"/>
      <c r="F48" s="475"/>
      <c r="G48" s="475"/>
      <c r="H48" s="474" t="s">
        <v>30</v>
      </c>
      <c r="I48" s="474" t="s">
        <v>127</v>
      </c>
      <c r="J48" s="491">
        <f>+K47</f>
        <v>41974</v>
      </c>
      <c r="K48" s="491">
        <v>42339</v>
      </c>
      <c r="L48" s="399">
        <v>418000</v>
      </c>
      <c r="M48" s="400">
        <f>+L47</f>
        <v>363000</v>
      </c>
      <c r="N48" s="328"/>
      <c r="O48" s="478" t="s">
        <v>51</v>
      </c>
      <c r="P48" s="479" t="s">
        <v>51</v>
      </c>
      <c r="Q48" s="479"/>
      <c r="R48" s="482"/>
      <c r="S48" s="479"/>
      <c r="T48" s="479"/>
      <c r="U48" s="479"/>
      <c r="V48" s="482"/>
      <c r="AG48" s="455"/>
      <c r="AH48" s="455"/>
      <c r="AI48" s="455"/>
      <c r="AJ48" s="455"/>
      <c r="AK48" s="455"/>
    </row>
    <row r="49" spans="1:37" s="36" customFormat="1" ht="14.25" customHeight="1">
      <c r="A49" s="453" t="s">
        <v>192</v>
      </c>
      <c r="B49" s="251" t="s">
        <v>220</v>
      </c>
      <c r="C49" s="182" t="s">
        <v>53</v>
      </c>
      <c r="D49" s="182"/>
      <c r="E49" s="182">
        <v>1984</v>
      </c>
      <c r="F49" s="183">
        <v>1500</v>
      </c>
      <c r="G49" s="183">
        <v>25000</v>
      </c>
      <c r="H49" s="182" t="s">
        <v>74</v>
      </c>
      <c r="I49" s="182" t="s">
        <v>12</v>
      </c>
      <c r="J49" s="316">
        <v>41275</v>
      </c>
      <c r="K49" s="316">
        <v>42248</v>
      </c>
      <c r="L49" s="134">
        <v>409000</v>
      </c>
      <c r="M49" s="332">
        <v>297000</v>
      </c>
      <c r="N49" s="58"/>
      <c r="O49" s="277">
        <v>0</v>
      </c>
      <c r="P49" s="55">
        <v>0</v>
      </c>
      <c r="Q49" s="55">
        <v>0</v>
      </c>
      <c r="R49" s="445">
        <v>16</v>
      </c>
      <c r="S49" s="444">
        <v>90</v>
      </c>
      <c r="T49" s="444">
        <v>19</v>
      </c>
      <c r="U49" s="55">
        <v>0</v>
      </c>
      <c r="V49" s="155">
        <v>0</v>
      </c>
      <c r="AG49" s="455"/>
      <c r="AH49" s="455"/>
      <c r="AI49" s="455"/>
      <c r="AJ49" s="455"/>
      <c r="AK49" s="455"/>
    </row>
    <row r="50" spans="1:37" s="36" customFormat="1" ht="6" customHeight="1">
      <c r="A50" s="53"/>
      <c r="B50" s="185"/>
      <c r="C50" s="53"/>
      <c r="J50" s="335"/>
      <c r="K50" s="335"/>
      <c r="L50" s="236"/>
      <c r="M50" s="263"/>
      <c r="O50" s="442"/>
      <c r="P50" s="442"/>
      <c r="Q50" s="442"/>
      <c r="R50" s="442"/>
      <c r="S50" s="54"/>
      <c r="T50" s="54"/>
      <c r="U50" s="54"/>
      <c r="V50" s="54"/>
      <c r="AG50" s="455"/>
      <c r="AH50" s="455"/>
      <c r="AI50" s="455"/>
      <c r="AJ50" s="455"/>
      <c r="AK50" s="455"/>
    </row>
    <row r="51" spans="1:37" s="36" customFormat="1" ht="15.75" customHeight="1">
      <c r="A51" s="201" t="s">
        <v>83</v>
      </c>
      <c r="B51" s="468"/>
      <c r="C51" s="203"/>
      <c r="D51" s="204"/>
      <c r="E51" s="205"/>
      <c r="F51" s="204"/>
      <c r="G51" s="204"/>
      <c r="H51" s="204"/>
      <c r="I51" s="204"/>
      <c r="J51" s="257"/>
      <c r="K51" s="257"/>
      <c r="L51" s="264"/>
      <c r="M51" s="265"/>
      <c r="N51" s="255"/>
      <c r="O51" s="272"/>
      <c r="P51" s="239"/>
      <c r="Q51" s="239"/>
      <c r="R51" s="237"/>
      <c r="S51" s="272"/>
      <c r="T51" s="239"/>
      <c r="U51" s="239"/>
      <c r="V51" s="237"/>
      <c r="AG51" s="455"/>
      <c r="AH51" s="455"/>
      <c r="AI51" s="455"/>
      <c r="AJ51" s="455"/>
      <c r="AK51" s="455"/>
    </row>
    <row r="52" spans="1:37" s="36" customFormat="1" ht="6" customHeight="1">
      <c r="A52" s="167"/>
      <c r="B52" s="198"/>
      <c r="C52" s="168"/>
      <c r="D52" s="168"/>
      <c r="E52" s="169"/>
      <c r="F52" s="170"/>
      <c r="G52" s="170"/>
      <c r="H52" s="165"/>
      <c r="I52" s="166"/>
      <c r="J52" s="166"/>
      <c r="K52" s="166"/>
      <c r="L52" s="171"/>
      <c r="M52" s="248"/>
      <c r="N52" s="171"/>
      <c r="O52" s="38">
        <v>0</v>
      </c>
      <c r="P52" s="39">
        <v>0</v>
      </c>
      <c r="Q52" s="39">
        <v>0</v>
      </c>
      <c r="R52" s="181"/>
      <c r="S52" s="54"/>
      <c r="T52" s="54"/>
      <c r="U52" s="54"/>
      <c r="V52" s="162"/>
      <c r="AG52" s="455"/>
      <c r="AH52" s="455"/>
      <c r="AI52" s="455"/>
      <c r="AJ52" s="455"/>
      <c r="AK52" s="455"/>
    </row>
    <row r="53" spans="1:37" s="329" customFormat="1" ht="14.25" customHeight="1">
      <c r="A53" s="432" t="s">
        <v>238</v>
      </c>
      <c r="B53" s="408"/>
      <c r="C53" s="433"/>
      <c r="D53" s="433"/>
      <c r="E53" s="434">
        <v>1989</v>
      </c>
      <c r="F53" s="435">
        <v>350</v>
      </c>
      <c r="G53" s="435">
        <v>30000</v>
      </c>
      <c r="H53" s="436" t="s">
        <v>34</v>
      </c>
      <c r="I53" s="298" t="s">
        <v>129</v>
      </c>
      <c r="J53" s="437">
        <v>41153</v>
      </c>
      <c r="K53" s="438">
        <v>41608</v>
      </c>
      <c r="L53" s="300">
        <v>153000</v>
      </c>
      <c r="M53" s="301">
        <v>118000</v>
      </c>
      <c r="N53" s="58"/>
      <c r="O53" s="439">
        <v>0</v>
      </c>
      <c r="P53" s="440">
        <v>0</v>
      </c>
      <c r="Q53" s="440">
        <v>0</v>
      </c>
      <c r="R53" s="441">
        <v>0</v>
      </c>
      <c r="S53" s="439">
        <v>0</v>
      </c>
      <c r="T53" s="440">
        <v>0</v>
      </c>
      <c r="U53" s="440">
        <v>0</v>
      </c>
      <c r="V53" s="441">
        <v>0</v>
      </c>
      <c r="W53" s="7"/>
      <c r="AG53" s="457"/>
      <c r="AH53" s="457"/>
      <c r="AI53" s="457"/>
      <c r="AJ53" s="457"/>
      <c r="AK53" s="457"/>
    </row>
    <row r="54" spans="1:37" s="36" customFormat="1" ht="6" customHeight="1">
      <c r="A54" s="23"/>
      <c r="B54" s="58"/>
      <c r="C54" s="51"/>
      <c r="D54" s="51"/>
      <c r="E54" s="51"/>
      <c r="F54" s="51"/>
      <c r="G54" s="51"/>
      <c r="H54" s="51"/>
      <c r="I54" s="51"/>
      <c r="J54" s="166"/>
      <c r="K54" s="166"/>
      <c r="L54" s="58"/>
      <c r="M54" s="58"/>
      <c r="N54" s="58"/>
      <c r="O54" s="54"/>
      <c r="P54" s="54"/>
      <c r="Q54" s="54"/>
      <c r="R54" s="54"/>
      <c r="S54" s="54"/>
      <c r="T54" s="54"/>
      <c r="U54" s="54"/>
      <c r="V54" s="54"/>
      <c r="AG54" s="455"/>
      <c r="AH54" s="455"/>
      <c r="AI54" s="455"/>
      <c r="AJ54" s="455"/>
      <c r="AK54" s="455"/>
    </row>
    <row r="55" spans="1:37" ht="15">
      <c r="A55" s="206" t="s">
        <v>224</v>
      </c>
      <c r="B55" s="469"/>
      <c r="C55" s="203"/>
      <c r="D55" s="209"/>
      <c r="E55" s="210"/>
      <c r="F55" s="209"/>
      <c r="G55" s="209"/>
      <c r="H55" s="211"/>
      <c r="I55" s="209"/>
      <c r="J55" s="262"/>
      <c r="K55" s="262"/>
      <c r="L55" s="268"/>
      <c r="M55" s="269"/>
    </row>
    <row r="56" spans="1:37" ht="6" customHeight="1">
      <c r="A56" s="195"/>
      <c r="B56" s="196"/>
      <c r="C56" s="197"/>
      <c r="D56" s="141"/>
      <c r="E56" s="176"/>
      <c r="F56" s="52"/>
      <c r="G56" s="177"/>
      <c r="H56" s="51"/>
      <c r="I56" s="51"/>
      <c r="J56" s="166"/>
      <c r="K56" s="166"/>
      <c r="L56" s="58"/>
      <c r="M56" s="231"/>
    </row>
    <row r="57" spans="1:37" ht="15">
      <c r="A57" s="201" t="s">
        <v>222</v>
      </c>
      <c r="B57" s="468"/>
      <c r="C57" s="203"/>
      <c r="D57" s="204"/>
      <c r="E57" s="205"/>
      <c r="F57" s="204"/>
      <c r="G57" s="204"/>
      <c r="H57" s="204"/>
      <c r="I57" s="204"/>
      <c r="J57" s="257"/>
      <c r="K57" s="257"/>
      <c r="L57" s="292"/>
      <c r="M57" s="293"/>
    </row>
    <row r="58" spans="1:37" ht="6" customHeight="1">
      <c r="A58" s="285"/>
      <c r="B58" s="286"/>
      <c r="C58" s="287"/>
      <c r="D58" s="288"/>
      <c r="E58" s="289"/>
      <c r="F58" s="288"/>
      <c r="G58" s="288"/>
      <c r="H58" s="288"/>
      <c r="I58" s="288"/>
      <c r="J58" s="290"/>
      <c r="K58" s="290"/>
      <c r="L58" s="294"/>
      <c r="M58" s="295"/>
    </row>
    <row r="59" spans="1:37">
      <c r="A59" s="355" t="s">
        <v>47</v>
      </c>
      <c r="B59" s="63">
        <v>-7</v>
      </c>
      <c r="C59" s="51" t="s">
        <v>53</v>
      </c>
      <c r="D59" s="51"/>
      <c r="E59" s="51" t="s">
        <v>48</v>
      </c>
      <c r="F59" s="52">
        <v>5400</v>
      </c>
      <c r="G59" s="52">
        <v>30000</v>
      </c>
      <c r="H59" s="51" t="s">
        <v>38</v>
      </c>
      <c r="I59" s="51" t="s">
        <v>245</v>
      </c>
      <c r="J59" s="278">
        <v>41693</v>
      </c>
      <c r="K59" s="278">
        <v>41722</v>
      </c>
      <c r="L59" s="213">
        <v>525000</v>
      </c>
      <c r="M59" s="63">
        <v>380000</v>
      </c>
    </row>
    <row r="60" spans="1:37" ht="6" customHeight="1">
      <c r="A60" s="175"/>
      <c r="B60" s="136"/>
      <c r="C60" s="176"/>
      <c r="D60" s="141"/>
      <c r="E60" s="176"/>
      <c r="F60" s="52"/>
      <c r="G60" s="177"/>
      <c r="H60" s="51"/>
      <c r="I60" s="51"/>
      <c r="J60" s="166"/>
      <c r="K60" s="166"/>
      <c r="L60" s="58"/>
      <c r="M60" s="63"/>
    </row>
    <row r="61" spans="1:37" ht="15">
      <c r="A61" s="201" t="s">
        <v>152</v>
      </c>
      <c r="B61" s="467"/>
      <c r="C61" s="203"/>
      <c r="D61" s="204"/>
      <c r="E61" s="205"/>
      <c r="F61" s="204"/>
      <c r="G61" s="204"/>
      <c r="H61" s="204"/>
      <c r="I61" s="204"/>
      <c r="J61" s="257"/>
      <c r="K61" s="257"/>
      <c r="L61" s="292"/>
      <c r="M61" s="296"/>
    </row>
    <row r="62" spans="1:37" ht="6" customHeight="1">
      <c r="A62" s="175"/>
      <c r="B62" s="135"/>
      <c r="C62" s="176"/>
      <c r="D62" s="141"/>
      <c r="E62" s="176"/>
      <c r="F62" s="52"/>
      <c r="G62" s="177"/>
      <c r="H62" s="51"/>
      <c r="I62" s="51"/>
      <c r="J62" s="166"/>
      <c r="K62" s="166"/>
      <c r="L62" s="58"/>
      <c r="M62" s="63"/>
    </row>
    <row r="63" spans="1:37">
      <c r="A63" s="483" t="s">
        <v>186</v>
      </c>
      <c r="B63" s="484">
        <v>-6</v>
      </c>
      <c r="C63" s="485" t="s">
        <v>53</v>
      </c>
      <c r="D63" s="485"/>
      <c r="E63" s="485">
        <v>1985</v>
      </c>
      <c r="F63" s="486">
        <v>1500</v>
      </c>
      <c r="G63" s="486">
        <v>25000</v>
      </c>
      <c r="H63" s="487" t="s">
        <v>272</v>
      </c>
      <c r="I63" s="488" t="s">
        <v>35</v>
      </c>
      <c r="J63" s="488">
        <v>42887</v>
      </c>
      <c r="K63" s="488">
        <v>43069</v>
      </c>
      <c r="L63" s="489">
        <v>620000</v>
      </c>
      <c r="M63" s="490">
        <v>589000</v>
      </c>
    </row>
    <row r="64" spans="1:37" ht="6" customHeight="1"/>
  </sheetData>
  <autoFilter ref="A8:J8"/>
  <customSheetViews>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Setup scale="49" fitToHeight="0" orientation="portrait"/>
      <headerFooter alignWithMargins="0">
        <oddFooter>&amp;RPage &amp;P</oddFooter>
      </headerFooter>
    </customSheetView>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Setup scale="60" fitToHeight="0" orientation="portrait"/>
      <headerFooter alignWithMargins="0">
        <oddFooter>&amp;RPage &amp;P</oddFooter>
      </headerFooter>
    </customSheetView>
  </customSheetViews>
  <mergeCells count="6">
    <mergeCell ref="S6:V6"/>
    <mergeCell ref="S7:V7"/>
    <mergeCell ref="A3:M3"/>
    <mergeCell ref="A4:M4"/>
    <mergeCell ref="O7:R7"/>
    <mergeCell ref="O6:R6"/>
  </mergeCells>
  <phoneticPr fontId="0" type="noConversion"/>
  <printOptions horizontalCentered="1"/>
  <pageMargins left="0" right="0" top="0" bottom="0" header="0" footer="0"/>
  <pageSetup paperSize="3" scale="60" fitToHeight="3" orientation="landscape"/>
  <headerFooter alignWithMargins="0"/>
  <ignoredErrors>
    <ignoredError sqref="B23" numberStoredAsText="1"/>
  </ignoredErrors>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pageSetUpPr autoPageBreaks="0"/>
  </sheetPr>
  <dimension ref="A1:AK173"/>
  <sheetViews>
    <sheetView view="pageBreakPreview" zoomScale="70" zoomScaleSheetLayoutView="70" workbookViewId="0">
      <pane xSplit="1" ySplit="9" topLeftCell="B10" activePane="bottomRight" state="frozen"/>
      <selection pane="topRight" activeCell="B1" sqref="B1"/>
      <selection pane="bottomLeft" activeCell="A10" sqref="A10"/>
      <selection pane="bottomRight" activeCell="A46" sqref="A46"/>
    </sheetView>
  </sheetViews>
  <sheetFormatPr baseColWidth="10" defaultColWidth="8.83203125" defaultRowHeight="12" x14ac:dyDescent="0"/>
  <cols>
    <col min="1" max="1" width="38.33203125" style="7" customWidth="1"/>
    <col min="2" max="2" width="14" style="7" customWidth="1"/>
    <col min="3" max="3" width="15.5" style="7" customWidth="1"/>
    <col min="4" max="4" width="15.33203125" style="7" customWidth="1"/>
    <col min="5" max="6" width="14.5" style="7" customWidth="1"/>
    <col min="7" max="7" width="14" style="7" customWidth="1"/>
    <col min="8" max="8" width="17.33203125" style="7" customWidth="1"/>
    <col min="9" max="9" width="22.33203125" style="7" customWidth="1"/>
    <col min="10" max="10" width="17.83203125" style="7" customWidth="1"/>
    <col min="11" max="11" width="18.5" style="7" customWidth="1"/>
    <col min="12" max="12" width="22.83203125" style="7" bestFit="1" customWidth="1"/>
    <col min="13" max="13" width="26.6640625" style="7" customWidth="1"/>
    <col min="14" max="14" width="2.6640625" style="36" customWidth="1"/>
    <col min="15" max="22" width="11.6640625" style="7" customWidth="1"/>
    <col min="23" max="23" width="9.1640625" style="7" customWidth="1"/>
    <col min="24" max="16384" width="8.83203125" style="7"/>
  </cols>
  <sheetData>
    <row r="1" spans="1:22" ht="41.25" customHeight="1">
      <c r="C1" s="43"/>
      <c r="E1" s="47"/>
      <c r="F1" s="47"/>
      <c r="H1" s="44"/>
    </row>
    <row r="2" spans="1:22" ht="13.5" customHeight="1">
      <c r="A2" s="45" t="s">
        <v>259</v>
      </c>
      <c r="B2" s="284"/>
      <c r="C2" s="281"/>
      <c r="K2" s="48"/>
      <c r="L2" s="48"/>
    </row>
    <row r="3" spans="1:22" ht="16.5" customHeight="1">
      <c r="A3" s="521" t="s">
        <v>205</v>
      </c>
      <c r="B3" s="521"/>
      <c r="C3" s="522"/>
      <c r="D3" s="522"/>
      <c r="E3" s="522"/>
      <c r="F3" s="522"/>
      <c r="G3" s="522"/>
      <c r="H3" s="522"/>
      <c r="I3" s="522"/>
      <c r="J3" s="522"/>
      <c r="K3" s="522"/>
      <c r="L3" s="522"/>
      <c r="M3" s="522"/>
      <c r="N3" s="417"/>
    </row>
    <row r="4" spans="1:22">
      <c r="A4" s="523" t="s">
        <v>95</v>
      </c>
      <c r="B4" s="523"/>
      <c r="C4" s="523"/>
      <c r="D4" s="523"/>
      <c r="E4" s="523"/>
      <c r="F4" s="523"/>
      <c r="G4" s="523"/>
      <c r="H4" s="523"/>
      <c r="I4" s="523"/>
      <c r="J4" s="523"/>
      <c r="K4" s="523"/>
      <c r="L4" s="523"/>
      <c r="M4" s="523"/>
      <c r="N4" s="417"/>
    </row>
    <row r="5" spans="1:22">
      <c r="A5" s="27"/>
      <c r="B5" s="27"/>
      <c r="C5" s="49"/>
      <c r="D5" s="49"/>
      <c r="E5" s="49"/>
      <c r="F5" s="49"/>
      <c r="G5" s="49"/>
      <c r="H5" s="49"/>
      <c r="I5" s="49"/>
      <c r="L5" s="4"/>
      <c r="M5" s="4"/>
      <c r="N5" s="4"/>
    </row>
    <row r="6" spans="1:22" s="36" customFormat="1" ht="15">
      <c r="A6" s="64"/>
      <c r="B6" s="97"/>
      <c r="C6" s="188"/>
      <c r="D6" s="66"/>
      <c r="E6" s="67" t="s">
        <v>134</v>
      </c>
      <c r="F6" s="68" t="s">
        <v>16</v>
      </c>
      <c r="G6" s="68" t="s">
        <v>130</v>
      </c>
      <c r="H6" s="69"/>
      <c r="I6" s="69"/>
      <c r="J6" s="68" t="s">
        <v>63</v>
      </c>
      <c r="K6" s="68" t="s">
        <v>63</v>
      </c>
      <c r="L6" s="68" t="s">
        <v>91</v>
      </c>
      <c r="M6" s="241" t="s">
        <v>91</v>
      </c>
      <c r="N6" s="252"/>
      <c r="O6" s="516" t="s">
        <v>233</v>
      </c>
      <c r="P6" s="516"/>
      <c r="Q6" s="516"/>
      <c r="R6" s="517"/>
      <c r="S6" s="515" t="s">
        <v>233</v>
      </c>
      <c r="T6" s="516"/>
      <c r="U6" s="516"/>
      <c r="V6" s="517"/>
    </row>
    <row r="7" spans="1:22" s="36" customFormat="1" ht="14.25" customHeight="1">
      <c r="A7" s="65"/>
      <c r="B7" s="98" t="s">
        <v>140</v>
      </c>
      <c r="C7" s="415" t="s">
        <v>54</v>
      </c>
      <c r="D7" s="416" t="s">
        <v>131</v>
      </c>
      <c r="E7" s="416" t="s">
        <v>62</v>
      </c>
      <c r="F7" s="416" t="s">
        <v>18</v>
      </c>
      <c r="G7" s="416" t="s">
        <v>18</v>
      </c>
      <c r="H7" s="71"/>
      <c r="I7" s="71"/>
      <c r="J7" s="72" t="s">
        <v>132</v>
      </c>
      <c r="K7" s="72" t="s">
        <v>136</v>
      </c>
      <c r="L7" s="77" t="s">
        <v>137</v>
      </c>
      <c r="M7" s="242" t="s">
        <v>138</v>
      </c>
      <c r="N7" s="235"/>
      <c r="O7" s="518">
        <v>2013</v>
      </c>
      <c r="P7" s="519"/>
      <c r="Q7" s="519"/>
      <c r="R7" s="520"/>
      <c r="S7" s="518">
        <v>2014</v>
      </c>
      <c r="T7" s="519"/>
      <c r="U7" s="519"/>
      <c r="V7" s="520"/>
    </row>
    <row r="8" spans="1:22" s="36" customFormat="1" ht="13.5" customHeight="1">
      <c r="A8" s="76" t="s">
        <v>15</v>
      </c>
      <c r="B8" s="99" t="s">
        <v>141</v>
      </c>
      <c r="C8" s="190" t="s">
        <v>55</v>
      </c>
      <c r="D8" s="191" t="s">
        <v>133</v>
      </c>
      <c r="E8" s="73" t="s">
        <v>19</v>
      </c>
      <c r="F8" s="74" t="s">
        <v>64</v>
      </c>
      <c r="G8" s="74" t="s">
        <v>64</v>
      </c>
      <c r="H8" s="75" t="s">
        <v>28</v>
      </c>
      <c r="I8" s="75" t="s">
        <v>82</v>
      </c>
      <c r="J8" s="73" t="s">
        <v>135</v>
      </c>
      <c r="K8" s="73" t="s">
        <v>139</v>
      </c>
      <c r="L8" s="74" t="s">
        <v>65</v>
      </c>
      <c r="M8" s="243" t="s">
        <v>65</v>
      </c>
      <c r="N8" s="253"/>
      <c r="O8" s="179" t="s">
        <v>209</v>
      </c>
      <c r="P8" s="78" t="s">
        <v>210</v>
      </c>
      <c r="Q8" s="78" t="s">
        <v>211</v>
      </c>
      <c r="R8" s="79" t="s">
        <v>208</v>
      </c>
      <c r="S8" s="179" t="s">
        <v>209</v>
      </c>
      <c r="T8" s="78" t="s">
        <v>210</v>
      </c>
      <c r="U8" s="78" t="s">
        <v>211</v>
      </c>
      <c r="V8" s="79" t="s">
        <v>208</v>
      </c>
    </row>
    <row r="9" spans="1:22" s="36" customFormat="1" ht="9" customHeight="1">
      <c r="A9" s="137"/>
      <c r="B9" s="96"/>
      <c r="C9" s="4"/>
      <c r="D9" s="335"/>
      <c r="E9" s="4"/>
      <c r="F9" s="4"/>
      <c r="G9" s="4"/>
      <c r="H9" s="4"/>
      <c r="I9" s="4"/>
      <c r="J9" s="4"/>
      <c r="K9" s="4"/>
      <c r="L9" s="4"/>
      <c r="M9" s="244"/>
      <c r="N9" s="4"/>
      <c r="O9" s="180"/>
      <c r="P9" s="37"/>
      <c r="Q9" s="37"/>
      <c r="R9" s="223"/>
      <c r="S9" s="180"/>
      <c r="T9" s="37"/>
      <c r="U9" s="37"/>
      <c r="V9" s="223"/>
    </row>
    <row r="10" spans="1:22" s="36" customFormat="1" ht="15">
      <c r="A10" s="201" t="s">
        <v>270</v>
      </c>
      <c r="B10" s="130"/>
      <c r="C10" s="93"/>
      <c r="D10" s="80"/>
      <c r="E10" s="81"/>
      <c r="F10" s="80"/>
      <c r="G10" s="80"/>
      <c r="H10" s="80"/>
      <c r="I10" s="80"/>
      <c r="J10" s="80"/>
      <c r="K10" s="80"/>
      <c r="L10" s="80"/>
      <c r="M10" s="245"/>
      <c r="N10" s="254"/>
      <c r="O10" s="87"/>
      <c r="P10" s="82"/>
      <c r="Q10" s="82"/>
      <c r="R10" s="92"/>
      <c r="S10" s="87"/>
      <c r="T10" s="82"/>
      <c r="U10" s="82"/>
      <c r="V10" s="92"/>
    </row>
    <row r="11" spans="1:22" s="36" customFormat="1" ht="6" customHeight="1">
      <c r="A11" s="137"/>
      <c r="B11" s="120"/>
      <c r="C11" s="4"/>
      <c r="D11" s="335"/>
      <c r="E11" s="4"/>
      <c r="F11" s="4"/>
      <c r="G11" s="4"/>
      <c r="H11" s="4"/>
      <c r="I11" s="4"/>
      <c r="J11" s="4"/>
      <c r="K11" s="4"/>
      <c r="L11" s="4"/>
      <c r="M11" s="244"/>
      <c r="N11" s="4"/>
      <c r="O11" s="38"/>
      <c r="P11" s="54"/>
      <c r="Q11" s="54"/>
      <c r="R11" s="162"/>
      <c r="S11" s="273"/>
      <c r="T11" s="54"/>
      <c r="U11" s="54"/>
      <c r="V11" s="162"/>
    </row>
    <row r="12" spans="1:22" s="36" customFormat="1" ht="14.25" customHeight="1">
      <c r="A12" s="395" t="s">
        <v>263</v>
      </c>
      <c r="B12" s="198"/>
      <c r="C12" s="51"/>
      <c r="D12" s="141" t="s">
        <v>61</v>
      </c>
      <c r="E12" s="393" t="s">
        <v>66</v>
      </c>
      <c r="F12" s="394">
        <v>400</v>
      </c>
      <c r="G12" s="394">
        <v>35000</v>
      </c>
      <c r="H12" s="393" t="s">
        <v>66</v>
      </c>
      <c r="I12" s="146"/>
      <c r="J12" s="280" t="s">
        <v>268</v>
      </c>
      <c r="K12" s="146"/>
      <c r="L12" s="58"/>
      <c r="M12" s="246" t="s">
        <v>42</v>
      </c>
      <c r="N12" s="187"/>
      <c r="O12" s="275">
        <v>0</v>
      </c>
      <c r="P12" s="34">
        <v>0</v>
      </c>
      <c r="Q12" s="34">
        <v>0</v>
      </c>
      <c r="R12" s="142">
        <v>0</v>
      </c>
      <c r="S12" s="275"/>
      <c r="T12" s="34"/>
      <c r="U12" s="34"/>
      <c r="V12" s="142"/>
    </row>
    <row r="13" spans="1:22" s="229" customFormat="1" ht="14.25" customHeight="1">
      <c r="A13" s="425" t="s">
        <v>264</v>
      </c>
      <c r="B13" s="132"/>
      <c r="C13" s="86"/>
      <c r="D13" s="163" t="s">
        <v>61</v>
      </c>
      <c r="E13" s="426" t="s">
        <v>66</v>
      </c>
      <c r="F13" s="427">
        <v>400</v>
      </c>
      <c r="G13" s="427">
        <v>35000</v>
      </c>
      <c r="H13" s="426" t="s">
        <v>66</v>
      </c>
      <c r="I13" s="147"/>
      <c r="J13" s="357" t="s">
        <v>219</v>
      </c>
      <c r="K13" s="147"/>
      <c r="L13" s="291"/>
      <c r="M13" s="307" t="s">
        <v>42</v>
      </c>
      <c r="N13" s="187"/>
      <c r="O13" s="274">
        <v>0</v>
      </c>
      <c r="P13" s="83">
        <v>0</v>
      </c>
      <c r="Q13" s="83">
        <v>0</v>
      </c>
      <c r="R13" s="139">
        <v>0</v>
      </c>
      <c r="S13" s="274"/>
      <c r="T13" s="83"/>
      <c r="U13" s="83"/>
      <c r="V13" s="139"/>
    </row>
    <row r="14" spans="1:22" s="36" customFormat="1" ht="14.25" customHeight="1">
      <c r="A14" s="395" t="s">
        <v>265</v>
      </c>
      <c r="B14" s="198"/>
      <c r="C14" s="51"/>
      <c r="D14" s="141" t="s">
        <v>61</v>
      </c>
      <c r="E14" s="393" t="s">
        <v>66</v>
      </c>
      <c r="F14" s="394">
        <v>400</v>
      </c>
      <c r="G14" s="394">
        <v>35000</v>
      </c>
      <c r="H14" s="393" t="s">
        <v>66</v>
      </c>
      <c r="I14" s="146"/>
      <c r="J14" s="280" t="s">
        <v>269</v>
      </c>
      <c r="K14" s="146"/>
      <c r="L14" s="58"/>
      <c r="M14" s="246" t="s">
        <v>42</v>
      </c>
      <c r="N14" s="187"/>
      <c r="O14" s="275">
        <v>0</v>
      </c>
      <c r="P14" s="34">
        <v>0</v>
      </c>
      <c r="Q14" s="34">
        <v>0</v>
      </c>
      <c r="R14" s="142">
        <v>0</v>
      </c>
      <c r="S14" s="275"/>
      <c r="T14" s="34"/>
      <c r="U14" s="34"/>
      <c r="V14" s="142"/>
    </row>
    <row r="15" spans="1:22" s="229" customFormat="1" ht="14.25" customHeight="1">
      <c r="A15" s="425" t="s">
        <v>266</v>
      </c>
      <c r="B15" s="132"/>
      <c r="C15" s="86"/>
      <c r="D15" s="163" t="s">
        <v>61</v>
      </c>
      <c r="E15" s="426" t="s">
        <v>66</v>
      </c>
      <c r="F15" s="427">
        <v>400</v>
      </c>
      <c r="G15" s="427">
        <v>35000</v>
      </c>
      <c r="H15" s="426" t="s">
        <v>66</v>
      </c>
      <c r="I15" s="147"/>
      <c r="J15" s="357" t="s">
        <v>234</v>
      </c>
      <c r="K15" s="147"/>
      <c r="L15" s="131"/>
      <c r="M15" s="307" t="s">
        <v>42</v>
      </c>
      <c r="N15" s="187"/>
      <c r="O15" s="274">
        <v>0</v>
      </c>
      <c r="P15" s="83">
        <v>0</v>
      </c>
      <c r="Q15" s="83">
        <v>0</v>
      </c>
      <c r="R15" s="139">
        <v>0</v>
      </c>
      <c r="S15" s="274"/>
      <c r="T15" s="83"/>
      <c r="U15" s="83"/>
      <c r="V15" s="139"/>
    </row>
    <row r="16" spans="1:22" s="5" customFormat="1" ht="14.25" customHeight="1">
      <c r="A16" s="395" t="s">
        <v>267</v>
      </c>
      <c r="B16" s="396"/>
      <c r="C16" s="393"/>
      <c r="D16" s="141" t="s">
        <v>61</v>
      </c>
      <c r="E16" s="393" t="s">
        <v>66</v>
      </c>
      <c r="F16" s="394">
        <v>400</v>
      </c>
      <c r="G16" s="394">
        <v>35000</v>
      </c>
      <c r="H16" s="393" t="s">
        <v>66</v>
      </c>
      <c r="I16" s="280"/>
      <c r="J16" s="280" t="s">
        <v>218</v>
      </c>
      <c r="K16" s="280"/>
      <c r="L16" s="279"/>
      <c r="M16" s="414" t="s">
        <v>42</v>
      </c>
      <c r="N16" s="391"/>
      <c r="O16" s="180">
        <v>0</v>
      </c>
      <c r="P16" s="37">
        <v>0</v>
      </c>
      <c r="Q16" s="37">
        <v>0</v>
      </c>
      <c r="R16" s="223">
        <v>0</v>
      </c>
      <c r="S16" s="180"/>
      <c r="T16" s="37"/>
      <c r="U16" s="37"/>
      <c r="V16" s="223"/>
    </row>
    <row r="17" spans="1:37" s="36" customFormat="1" ht="6" customHeight="1">
      <c r="A17" s="140"/>
      <c r="B17" s="200"/>
      <c r="C17" s="335"/>
      <c r="D17" s="335"/>
      <c r="E17" s="335"/>
      <c r="F17" s="335"/>
      <c r="G17" s="335"/>
      <c r="H17" s="335"/>
      <c r="I17" s="335"/>
      <c r="J17" s="335"/>
      <c r="K17" s="335"/>
      <c r="L17" s="236"/>
      <c r="M17" s="263"/>
      <c r="N17" s="335"/>
      <c r="O17" s="275"/>
      <c r="P17" s="34"/>
      <c r="Q17" s="34"/>
      <c r="R17" s="142"/>
      <c r="S17" s="275"/>
      <c r="T17" s="34"/>
      <c r="U17" s="34"/>
      <c r="V17" s="142"/>
    </row>
    <row r="18" spans="1:37" s="5" customFormat="1" ht="15">
      <c r="A18" s="201" t="s">
        <v>151</v>
      </c>
      <c r="B18" s="202"/>
      <c r="C18" s="203"/>
      <c r="D18" s="204"/>
      <c r="E18" s="205"/>
      <c r="F18" s="204"/>
      <c r="G18" s="204"/>
      <c r="H18" s="204"/>
      <c r="I18" s="204"/>
      <c r="J18" s="257"/>
      <c r="K18" s="257"/>
      <c r="L18" s="264"/>
      <c r="M18" s="265"/>
      <c r="N18" s="255"/>
      <c r="O18" s="206"/>
      <c r="P18" s="82"/>
      <c r="Q18" s="82"/>
      <c r="R18" s="92"/>
      <c r="S18" s="87"/>
      <c r="T18" s="82"/>
      <c r="U18" s="82"/>
      <c r="V18" s="92"/>
      <c r="AG18" s="5" t="s">
        <v>208</v>
      </c>
      <c r="AH18" s="5" t="s">
        <v>209</v>
      </c>
      <c r="AI18" s="5" t="s">
        <v>210</v>
      </c>
      <c r="AJ18" s="5" t="s">
        <v>211</v>
      </c>
      <c r="AK18" s="5" t="s">
        <v>208</v>
      </c>
    </row>
    <row r="19" spans="1:37" s="5" customFormat="1" ht="6" customHeight="1">
      <c r="A19" s="214"/>
      <c r="B19" s="215"/>
      <c r="C19" s="216"/>
      <c r="D19" s="216"/>
      <c r="E19" s="216"/>
      <c r="F19" s="216"/>
      <c r="G19" s="216"/>
      <c r="H19" s="216"/>
      <c r="I19" s="216"/>
      <c r="J19" s="258"/>
      <c r="K19" s="258"/>
      <c r="L19" s="266"/>
      <c r="M19" s="267"/>
      <c r="N19" s="256"/>
      <c r="O19" s="276"/>
      <c r="P19" s="217"/>
      <c r="Q19" s="217"/>
      <c r="R19" s="218"/>
      <c r="S19" s="317"/>
      <c r="T19" s="302"/>
      <c r="U19" s="302"/>
      <c r="V19" s="318"/>
    </row>
    <row r="20" spans="1:37" s="232" customFormat="1" ht="14.25" customHeight="1">
      <c r="A20" s="148" t="s">
        <v>154</v>
      </c>
      <c r="B20" s="132">
        <v>-6</v>
      </c>
      <c r="C20" s="86" t="s">
        <v>52</v>
      </c>
      <c r="D20" s="163" t="s">
        <v>61</v>
      </c>
      <c r="E20" s="86">
        <v>2009</v>
      </c>
      <c r="F20" s="143">
        <v>12000</v>
      </c>
      <c r="G20" s="143">
        <v>40000</v>
      </c>
      <c r="H20" s="86" t="s">
        <v>232</v>
      </c>
      <c r="I20" s="86" t="s">
        <v>81</v>
      </c>
      <c r="J20" s="150">
        <v>41518</v>
      </c>
      <c r="K20" s="150">
        <v>42004</v>
      </c>
      <c r="L20" s="131">
        <v>636000</v>
      </c>
      <c r="M20" s="234">
        <v>585000</v>
      </c>
      <c r="N20" s="58"/>
      <c r="O20" s="274">
        <v>0</v>
      </c>
      <c r="P20" s="83">
        <v>0</v>
      </c>
      <c r="Q20" s="83">
        <v>0</v>
      </c>
      <c r="R20" s="139">
        <f>VLOOKUP($A20,'[1]2013'!$B$4:$V$48,21,0)</f>
        <v>0</v>
      </c>
      <c r="S20" s="274">
        <f>VLOOKUP($A20,'[1]2014'!$B$4:$R$53,14,0)</f>
        <v>0</v>
      </c>
      <c r="T20" s="83">
        <f>VLOOKUP($A20,'[1]2014'!$B$4:$R$53,15,0)</f>
        <v>5</v>
      </c>
      <c r="U20" s="83">
        <f>VLOOKUP($A20,'[1]2014'!$B$4:$R$53,16,0)</f>
        <v>25</v>
      </c>
      <c r="V20" s="139">
        <f>VLOOKUP($A20,'[1]2014'!$B$4:$R$53,17,0)</f>
        <v>0</v>
      </c>
      <c r="AA20" s="232">
        <v>0</v>
      </c>
      <c r="AB20" s="232">
        <v>0</v>
      </c>
      <c r="AC20" s="232">
        <v>5</v>
      </c>
      <c r="AD20" s="232">
        <v>25</v>
      </c>
      <c r="AE20" s="232">
        <v>0</v>
      </c>
      <c r="AG20" s="454">
        <f>R20-AA20</f>
        <v>0</v>
      </c>
      <c r="AH20" s="454">
        <f t="shared" ref="AH20:AK35" si="0">S20-AB20</f>
        <v>0</v>
      </c>
      <c r="AI20" s="454">
        <f t="shared" si="0"/>
        <v>0</v>
      </c>
      <c r="AJ20" s="454">
        <f t="shared" si="0"/>
        <v>0</v>
      </c>
      <c r="AK20" s="454">
        <f t="shared" si="0"/>
        <v>0</v>
      </c>
    </row>
    <row r="21" spans="1:37" s="232" customFormat="1" ht="14.25" customHeight="1">
      <c r="A21" s="148"/>
      <c r="B21" s="132">
        <v>-6</v>
      </c>
      <c r="C21" s="86"/>
      <c r="D21" s="163"/>
      <c r="E21" s="86"/>
      <c r="F21" s="143"/>
      <c r="G21" s="143"/>
      <c r="H21" s="86" t="s">
        <v>29</v>
      </c>
      <c r="I21" s="86" t="s">
        <v>81</v>
      </c>
      <c r="J21" s="150">
        <v>42004</v>
      </c>
      <c r="K21" s="150">
        <v>42491</v>
      </c>
      <c r="L21" s="131">
        <v>600000</v>
      </c>
      <c r="M21" s="234">
        <v>636000</v>
      </c>
      <c r="N21" s="58"/>
      <c r="O21" s="274" t="s">
        <v>51</v>
      </c>
      <c r="P21" s="83" t="s">
        <v>51</v>
      </c>
      <c r="Q21" s="83"/>
      <c r="R21" s="139"/>
      <c r="S21" s="274"/>
      <c r="T21" s="83"/>
      <c r="U21" s="83"/>
      <c r="V21" s="139"/>
      <c r="AG21" s="454">
        <f t="shared" ref="AG21:AK83" si="1">R21-AA21</f>
        <v>0</v>
      </c>
      <c r="AH21" s="454">
        <f t="shared" si="0"/>
        <v>0</v>
      </c>
      <c r="AI21" s="454">
        <f t="shared" si="0"/>
        <v>0</v>
      </c>
      <c r="AJ21" s="454">
        <f t="shared" si="0"/>
        <v>0</v>
      </c>
      <c r="AK21" s="454">
        <f t="shared" si="0"/>
        <v>0</v>
      </c>
    </row>
    <row r="22" spans="1:37" s="36" customFormat="1" ht="15" customHeight="1">
      <c r="A22" s="144" t="s">
        <v>155</v>
      </c>
      <c r="B22" s="198">
        <v>-6</v>
      </c>
      <c r="C22" s="51" t="s">
        <v>52</v>
      </c>
      <c r="D22" s="141" t="s">
        <v>61</v>
      </c>
      <c r="E22" s="149">
        <v>2011</v>
      </c>
      <c r="F22" s="52">
        <v>12000</v>
      </c>
      <c r="G22" s="52">
        <v>40000</v>
      </c>
      <c r="H22" s="51" t="s">
        <v>29</v>
      </c>
      <c r="I22" s="51" t="s">
        <v>59</v>
      </c>
      <c r="J22" s="166">
        <v>41061</v>
      </c>
      <c r="K22" s="166">
        <v>42309</v>
      </c>
      <c r="L22" s="58">
        <v>669000</v>
      </c>
      <c r="M22" s="63">
        <v>655000</v>
      </c>
      <c r="N22" s="58"/>
      <c r="O22" s="275">
        <v>0</v>
      </c>
      <c r="P22" s="34">
        <v>0</v>
      </c>
      <c r="Q22" s="34">
        <v>0</v>
      </c>
      <c r="R22" s="142">
        <f>VLOOKUP($A22,'[1]2013'!$B$4:$V$48,21,0)</f>
        <v>0</v>
      </c>
      <c r="S22" s="275">
        <v>0</v>
      </c>
      <c r="T22" s="34">
        <v>0</v>
      </c>
      <c r="U22" s="34">
        <v>0</v>
      </c>
      <c r="V22" s="142">
        <v>0</v>
      </c>
      <c r="AA22" s="36">
        <v>0</v>
      </c>
      <c r="AB22" s="36">
        <v>0</v>
      </c>
      <c r="AC22" s="36">
        <v>0</v>
      </c>
      <c r="AD22" s="36">
        <v>0</v>
      </c>
      <c r="AE22" s="36">
        <v>0</v>
      </c>
      <c r="AG22" s="455">
        <f t="shared" si="1"/>
        <v>0</v>
      </c>
      <c r="AH22" s="455">
        <f t="shared" si="0"/>
        <v>0</v>
      </c>
      <c r="AI22" s="455">
        <f t="shared" si="0"/>
        <v>0</v>
      </c>
      <c r="AJ22" s="455">
        <f t="shared" si="0"/>
        <v>0</v>
      </c>
      <c r="AK22" s="455">
        <f t="shared" si="0"/>
        <v>0</v>
      </c>
    </row>
    <row r="23" spans="1:37" s="232" customFormat="1" ht="14.25" customHeight="1">
      <c r="A23" s="148" t="s">
        <v>156</v>
      </c>
      <c r="B23" s="308" t="s">
        <v>251</v>
      </c>
      <c r="C23" s="86" t="s">
        <v>52</v>
      </c>
      <c r="D23" s="138" t="s">
        <v>61</v>
      </c>
      <c r="E23" s="86">
        <v>2009</v>
      </c>
      <c r="F23" s="143">
        <v>12000</v>
      </c>
      <c r="G23" s="143">
        <v>40000</v>
      </c>
      <c r="H23" s="86" t="s">
        <v>29</v>
      </c>
      <c r="I23" s="86" t="s">
        <v>60</v>
      </c>
      <c r="J23" s="147">
        <v>40057</v>
      </c>
      <c r="K23" s="147">
        <v>41883</v>
      </c>
      <c r="L23" s="131">
        <v>566000</v>
      </c>
      <c r="M23" s="234">
        <v>503000</v>
      </c>
      <c r="N23" s="58"/>
      <c r="O23" s="274">
        <v>0</v>
      </c>
      <c r="P23" s="83">
        <v>0</v>
      </c>
      <c r="Q23" s="83">
        <v>0</v>
      </c>
      <c r="R23" s="139">
        <v>0</v>
      </c>
      <c r="S23" s="274">
        <f>VLOOKUP($A23,'[1]2014'!$B$4:$R$53,14,0)</f>
        <v>21</v>
      </c>
      <c r="T23" s="83">
        <f>VLOOKUP($A23,'[1]2014'!$B$4:$R$53,15,0)</f>
        <v>0</v>
      </c>
      <c r="U23" s="83">
        <f>VLOOKUP($A23,'[1]2014'!$B$4:$R$53,16,0)</f>
        <v>0</v>
      </c>
      <c r="V23" s="139">
        <f>VLOOKUP($A23,'[1]2014'!$B$4:$R$53,17,0)</f>
        <v>0</v>
      </c>
      <c r="AA23" s="232">
        <v>0</v>
      </c>
      <c r="AB23" s="232">
        <v>21</v>
      </c>
      <c r="AC23" s="232">
        <v>0</v>
      </c>
      <c r="AD23" s="232">
        <v>0</v>
      </c>
      <c r="AE23" s="232">
        <v>0</v>
      </c>
      <c r="AG23" s="454">
        <f t="shared" si="1"/>
        <v>0</v>
      </c>
      <c r="AH23" s="454">
        <f t="shared" si="0"/>
        <v>0</v>
      </c>
      <c r="AI23" s="454">
        <f t="shared" si="0"/>
        <v>0</v>
      </c>
      <c r="AJ23" s="454">
        <f t="shared" si="0"/>
        <v>0</v>
      </c>
      <c r="AK23" s="454">
        <f t="shared" si="0"/>
        <v>0</v>
      </c>
    </row>
    <row r="24" spans="1:37" s="232" customFormat="1" ht="14.25" customHeight="1">
      <c r="A24" s="148"/>
      <c r="B24" s="308" t="s">
        <v>246</v>
      </c>
      <c r="C24" s="86"/>
      <c r="D24" s="138"/>
      <c r="E24" s="86"/>
      <c r="F24" s="143"/>
      <c r="G24" s="143"/>
      <c r="H24" s="86" t="s">
        <v>29</v>
      </c>
      <c r="I24" s="86" t="s">
        <v>60</v>
      </c>
      <c r="J24" s="147">
        <v>41883</v>
      </c>
      <c r="K24" s="147">
        <v>43313</v>
      </c>
      <c r="L24" s="131">
        <v>590000</v>
      </c>
      <c r="M24" s="234">
        <v>566000</v>
      </c>
      <c r="N24" s="58"/>
      <c r="O24" s="274"/>
      <c r="P24" s="83"/>
      <c r="Q24" s="83"/>
      <c r="R24" s="139"/>
      <c r="S24" s="274"/>
      <c r="T24" s="83"/>
      <c r="U24" s="83"/>
      <c r="V24" s="139"/>
      <c r="AG24" s="454">
        <f t="shared" si="1"/>
        <v>0</v>
      </c>
      <c r="AH24" s="454">
        <f t="shared" si="0"/>
        <v>0</v>
      </c>
      <c r="AI24" s="454">
        <f t="shared" si="0"/>
        <v>0</v>
      </c>
      <c r="AJ24" s="454">
        <f t="shared" si="0"/>
        <v>0</v>
      </c>
      <c r="AK24" s="454">
        <f t="shared" si="0"/>
        <v>0</v>
      </c>
    </row>
    <row r="25" spans="1:37" s="36" customFormat="1" ht="14.25" customHeight="1">
      <c r="A25" s="144" t="s">
        <v>157</v>
      </c>
      <c r="B25" s="198">
        <v>-6</v>
      </c>
      <c r="C25" s="51" t="s">
        <v>52</v>
      </c>
      <c r="D25" s="145" t="s">
        <v>61</v>
      </c>
      <c r="E25" s="51">
        <v>2010</v>
      </c>
      <c r="F25" s="52">
        <v>12000</v>
      </c>
      <c r="G25" s="52">
        <v>40000</v>
      </c>
      <c r="H25" s="51" t="s">
        <v>29</v>
      </c>
      <c r="I25" s="51" t="s">
        <v>60</v>
      </c>
      <c r="J25" s="146">
        <v>40210</v>
      </c>
      <c r="K25" s="146">
        <v>42064</v>
      </c>
      <c r="L25" s="58">
        <v>521000</v>
      </c>
      <c r="M25" s="63">
        <v>494000</v>
      </c>
      <c r="N25" s="58"/>
      <c r="O25" s="275">
        <v>0</v>
      </c>
      <c r="P25" s="34">
        <v>0</v>
      </c>
      <c r="Q25" s="34">
        <v>0</v>
      </c>
      <c r="R25" s="142">
        <v>0</v>
      </c>
      <c r="S25" s="275">
        <v>0</v>
      </c>
      <c r="T25" s="34">
        <v>0</v>
      </c>
      <c r="U25" s="34">
        <v>0</v>
      </c>
      <c r="V25" s="142">
        <v>0</v>
      </c>
      <c r="AA25" s="36">
        <v>0</v>
      </c>
      <c r="AB25" s="36">
        <v>0</v>
      </c>
      <c r="AC25" s="36">
        <v>0</v>
      </c>
      <c r="AD25" s="36">
        <v>0</v>
      </c>
      <c r="AE25" s="36">
        <v>0</v>
      </c>
      <c r="AG25" s="455">
        <f t="shared" si="1"/>
        <v>0</v>
      </c>
      <c r="AH25" s="455">
        <f t="shared" si="0"/>
        <v>0</v>
      </c>
      <c r="AI25" s="455">
        <f t="shared" si="0"/>
        <v>0</v>
      </c>
      <c r="AJ25" s="455">
        <f t="shared" si="0"/>
        <v>0</v>
      </c>
      <c r="AK25" s="455">
        <f t="shared" si="0"/>
        <v>0</v>
      </c>
    </row>
    <row r="26" spans="1:37" s="36" customFormat="1" ht="14.25" customHeight="1">
      <c r="A26" s="144"/>
      <c r="B26" s="198" t="s">
        <v>220</v>
      </c>
      <c r="C26" s="51"/>
      <c r="D26" s="145"/>
      <c r="E26" s="51"/>
      <c r="F26" s="52"/>
      <c r="G26" s="52"/>
      <c r="H26" s="51" t="s">
        <v>29</v>
      </c>
      <c r="I26" s="51" t="s">
        <v>60</v>
      </c>
      <c r="J26" s="146">
        <v>42114</v>
      </c>
      <c r="K26" s="146">
        <v>43941</v>
      </c>
      <c r="L26" s="58">
        <v>585000</v>
      </c>
      <c r="M26" s="63">
        <v>521000</v>
      </c>
      <c r="N26" s="58"/>
      <c r="O26" s="275"/>
      <c r="P26" s="34"/>
      <c r="Q26" s="34"/>
      <c r="R26" s="142"/>
      <c r="S26" s="275"/>
      <c r="T26" s="34"/>
      <c r="U26" s="34"/>
      <c r="V26" s="142"/>
      <c r="AG26" s="455">
        <f t="shared" si="1"/>
        <v>0</v>
      </c>
      <c r="AH26" s="455">
        <f t="shared" si="0"/>
        <v>0</v>
      </c>
      <c r="AI26" s="455">
        <f t="shared" si="0"/>
        <v>0</v>
      </c>
      <c r="AJ26" s="455">
        <f t="shared" si="0"/>
        <v>0</v>
      </c>
      <c r="AK26" s="455">
        <f t="shared" si="0"/>
        <v>0</v>
      </c>
    </row>
    <row r="27" spans="1:37" s="232" customFormat="1" ht="14.25" customHeight="1">
      <c r="A27" s="148" t="s">
        <v>158</v>
      </c>
      <c r="B27" s="132"/>
      <c r="C27" s="86" t="s">
        <v>52</v>
      </c>
      <c r="D27" s="138" t="s">
        <v>61</v>
      </c>
      <c r="E27" s="86">
        <v>2009</v>
      </c>
      <c r="F27" s="143">
        <v>12000</v>
      </c>
      <c r="G27" s="143">
        <v>35000</v>
      </c>
      <c r="H27" s="86" t="s">
        <v>40</v>
      </c>
      <c r="I27" s="86" t="s">
        <v>56</v>
      </c>
      <c r="J27" s="147">
        <v>40026</v>
      </c>
      <c r="K27" s="147">
        <v>41821</v>
      </c>
      <c r="L27" s="131">
        <v>510000</v>
      </c>
      <c r="M27" s="234" t="s">
        <v>42</v>
      </c>
      <c r="N27" s="58"/>
      <c r="O27" s="274">
        <v>0</v>
      </c>
      <c r="P27" s="83">
        <v>0</v>
      </c>
      <c r="Q27" s="83">
        <v>5.1395833333333334</v>
      </c>
      <c r="R27" s="139">
        <f>VLOOKUP($A27,'[1]2013'!$B$4:$V$48,21,0)</f>
        <v>0</v>
      </c>
      <c r="S27" s="274">
        <f>VLOOKUP($A27,'[1]2014'!$B$4:$R$53,14,0)</f>
        <v>0</v>
      </c>
      <c r="T27" s="83">
        <f>VLOOKUP($A27,'[1]2014'!$B$4:$R$53,15,0)</f>
        <v>0</v>
      </c>
      <c r="U27" s="83">
        <f>VLOOKUP($A27,'[1]2014'!$B$4:$R$53,16,0)</f>
        <v>41</v>
      </c>
      <c r="V27" s="139">
        <f>VLOOKUP($A27,'[1]2014'!$B$4:$R$53,17,0)</f>
        <v>0</v>
      </c>
      <c r="AA27" s="232">
        <v>0</v>
      </c>
      <c r="AB27" s="232">
        <v>0</v>
      </c>
      <c r="AC27" s="232">
        <v>0</v>
      </c>
      <c r="AD27" s="232">
        <v>47</v>
      </c>
      <c r="AE27" s="232">
        <v>0</v>
      </c>
      <c r="AG27" s="454">
        <f t="shared" si="1"/>
        <v>0</v>
      </c>
      <c r="AH27" s="454">
        <f t="shared" si="0"/>
        <v>0</v>
      </c>
      <c r="AI27" s="454">
        <f t="shared" si="0"/>
        <v>0</v>
      </c>
      <c r="AJ27" s="454">
        <f t="shared" si="0"/>
        <v>-6</v>
      </c>
      <c r="AK27" s="454">
        <f t="shared" si="0"/>
        <v>0</v>
      </c>
    </row>
    <row r="28" spans="1:37" s="36" customFormat="1" ht="14.25" customHeight="1">
      <c r="A28" s="144" t="s">
        <v>159</v>
      </c>
      <c r="B28" s="198"/>
      <c r="C28" s="51" t="s">
        <v>52</v>
      </c>
      <c r="D28" s="145" t="s">
        <v>61</v>
      </c>
      <c r="E28" s="51">
        <v>2010</v>
      </c>
      <c r="F28" s="52">
        <v>12000</v>
      </c>
      <c r="G28" s="52">
        <v>35000</v>
      </c>
      <c r="H28" s="51" t="s">
        <v>40</v>
      </c>
      <c r="I28" s="51" t="s">
        <v>56</v>
      </c>
      <c r="J28" s="146">
        <v>40969</v>
      </c>
      <c r="K28" s="146">
        <v>42036</v>
      </c>
      <c r="L28" s="58">
        <v>510000</v>
      </c>
      <c r="M28" s="63">
        <v>573000</v>
      </c>
      <c r="N28" s="58"/>
      <c r="O28" s="275">
        <v>0</v>
      </c>
      <c r="P28" s="34">
        <v>0</v>
      </c>
      <c r="Q28" s="34">
        <v>0</v>
      </c>
      <c r="R28" s="142">
        <v>0</v>
      </c>
      <c r="S28" s="275">
        <f>VLOOKUP($A28,'[1]2014'!$B$4:$R$53,14,0)</f>
        <v>21</v>
      </c>
      <c r="T28" s="34">
        <f>VLOOKUP($A28,'[1]2014'!$B$4:$R$53,15,0)</f>
        <v>0</v>
      </c>
      <c r="U28" s="34">
        <f>VLOOKUP($A28,'[1]2014'!$B$4:$R$53,16,0)</f>
        <v>0</v>
      </c>
      <c r="V28" s="142">
        <f>VLOOKUP($A28,'[1]2014'!$B$4:$R$53,17,0)</f>
        <v>0</v>
      </c>
      <c r="AA28" s="36">
        <v>0</v>
      </c>
      <c r="AB28" s="36">
        <v>21</v>
      </c>
      <c r="AC28" s="36">
        <v>0</v>
      </c>
      <c r="AD28" s="36">
        <v>0</v>
      </c>
      <c r="AE28" s="36">
        <v>0</v>
      </c>
      <c r="AG28" s="455">
        <f t="shared" si="1"/>
        <v>0</v>
      </c>
      <c r="AH28" s="455">
        <f t="shared" si="0"/>
        <v>0</v>
      </c>
      <c r="AI28" s="455">
        <f t="shared" si="0"/>
        <v>0</v>
      </c>
      <c r="AJ28" s="455">
        <f t="shared" si="0"/>
        <v>0</v>
      </c>
      <c r="AK28" s="455">
        <f t="shared" si="0"/>
        <v>0</v>
      </c>
    </row>
    <row r="29" spans="1:37" s="232" customFormat="1">
      <c r="A29" s="306" t="s">
        <v>160</v>
      </c>
      <c r="B29" s="132">
        <v>-14</v>
      </c>
      <c r="C29" s="86" t="s">
        <v>52</v>
      </c>
      <c r="D29" s="163" t="s">
        <v>61</v>
      </c>
      <c r="E29" s="86">
        <v>2010</v>
      </c>
      <c r="F29" s="143">
        <v>12000</v>
      </c>
      <c r="G29" s="143">
        <v>40000</v>
      </c>
      <c r="H29" s="150" t="s">
        <v>29</v>
      </c>
      <c r="I29" s="86" t="s">
        <v>56</v>
      </c>
      <c r="J29" s="150">
        <v>41518</v>
      </c>
      <c r="K29" s="309">
        <v>42614</v>
      </c>
      <c r="L29" s="131">
        <v>528000</v>
      </c>
      <c r="M29" s="234">
        <v>499000</v>
      </c>
      <c r="N29" s="58"/>
      <c r="O29" s="274">
        <v>8</v>
      </c>
      <c r="P29" s="83">
        <v>0</v>
      </c>
      <c r="Q29" s="83">
        <v>0</v>
      </c>
      <c r="R29" s="139">
        <f>VLOOKUP($A29,'[1]2013'!$B$4:$V$48,21,0)</f>
        <v>0</v>
      </c>
      <c r="S29" s="274">
        <v>0</v>
      </c>
      <c r="T29" s="83">
        <v>0</v>
      </c>
      <c r="U29" s="83">
        <v>0</v>
      </c>
      <c r="V29" s="139">
        <v>0</v>
      </c>
      <c r="AA29" s="232">
        <v>0</v>
      </c>
      <c r="AB29" s="232">
        <v>0</v>
      </c>
      <c r="AC29" s="232">
        <v>0</v>
      </c>
      <c r="AD29" s="232">
        <v>0</v>
      </c>
      <c r="AE29" s="232">
        <v>0</v>
      </c>
      <c r="AG29" s="454">
        <f t="shared" si="1"/>
        <v>0</v>
      </c>
      <c r="AH29" s="454">
        <f t="shared" si="0"/>
        <v>0</v>
      </c>
      <c r="AI29" s="454">
        <f t="shared" si="0"/>
        <v>0</v>
      </c>
      <c r="AJ29" s="454">
        <f t="shared" si="0"/>
        <v>0</v>
      </c>
      <c r="AK29" s="454">
        <f t="shared" si="0"/>
        <v>0</v>
      </c>
    </row>
    <row r="30" spans="1:37" s="232" customFormat="1">
      <c r="A30" s="306"/>
      <c r="B30" s="132"/>
      <c r="C30" s="86"/>
      <c r="D30" s="163"/>
      <c r="E30" s="86"/>
      <c r="F30" s="143"/>
      <c r="G30" s="143"/>
      <c r="H30" s="309" t="s">
        <v>40</v>
      </c>
      <c r="I30" s="86" t="s">
        <v>56</v>
      </c>
      <c r="J30" s="309">
        <v>42614</v>
      </c>
      <c r="K30" s="309">
        <v>44136</v>
      </c>
      <c r="L30" s="131">
        <v>508000</v>
      </c>
      <c r="M30" s="234">
        <v>528000</v>
      </c>
      <c r="N30" s="58"/>
      <c r="O30" s="274" t="s">
        <v>51</v>
      </c>
      <c r="P30" s="83" t="s">
        <v>51</v>
      </c>
      <c r="Q30" s="83"/>
      <c r="R30" s="139"/>
      <c r="S30" s="274"/>
      <c r="T30" s="83"/>
      <c r="U30" s="83"/>
      <c r="V30" s="139"/>
      <c r="AG30" s="454">
        <f t="shared" si="1"/>
        <v>0</v>
      </c>
      <c r="AH30" s="454">
        <f t="shared" si="0"/>
        <v>0</v>
      </c>
      <c r="AI30" s="454">
        <f t="shared" si="0"/>
        <v>0</v>
      </c>
      <c r="AJ30" s="454">
        <f t="shared" si="0"/>
        <v>0</v>
      </c>
      <c r="AK30" s="454">
        <f t="shared" si="0"/>
        <v>0</v>
      </c>
    </row>
    <row r="31" spans="1:37" ht="14.25" customHeight="1">
      <c r="A31" s="418" t="s">
        <v>161</v>
      </c>
      <c r="B31" s="219" t="s">
        <v>162</v>
      </c>
      <c r="C31" s="220" t="s">
        <v>52</v>
      </c>
      <c r="D31" s="145" t="s">
        <v>61</v>
      </c>
      <c r="E31" s="221">
        <v>2009</v>
      </c>
      <c r="F31" s="222">
        <v>12000</v>
      </c>
      <c r="G31" s="222">
        <v>37500</v>
      </c>
      <c r="H31" s="221" t="s">
        <v>31</v>
      </c>
      <c r="I31" s="221" t="s">
        <v>33</v>
      </c>
      <c r="J31" s="146">
        <v>40575</v>
      </c>
      <c r="K31" s="146">
        <v>43678</v>
      </c>
      <c r="L31" s="213">
        <v>436000</v>
      </c>
      <c r="M31" s="63" t="s">
        <v>42</v>
      </c>
      <c r="N31" s="58"/>
      <c r="O31" s="275">
        <v>0</v>
      </c>
      <c r="P31" s="34">
        <v>0</v>
      </c>
      <c r="Q31" s="34">
        <v>0</v>
      </c>
      <c r="R31" s="142">
        <v>0</v>
      </c>
      <c r="S31" s="275">
        <f>VLOOKUP($A31,'[1]2014'!$B$4:$R$53,14,0)</f>
        <v>0</v>
      </c>
      <c r="T31" s="34">
        <f>VLOOKUP($A31,'[1]2014'!$B$4:$R$53,15,0)</f>
        <v>30</v>
      </c>
      <c r="U31" s="34">
        <f>VLOOKUP($A31,'[1]2014'!$B$4:$R$53,16,0)</f>
        <v>43</v>
      </c>
      <c r="V31" s="142">
        <f>VLOOKUP($A31,'[1]2014'!$B$4:$R$53,17,0)</f>
        <v>0</v>
      </c>
      <c r="AA31" s="7">
        <v>0</v>
      </c>
      <c r="AB31" s="7">
        <v>0</v>
      </c>
      <c r="AC31" s="7">
        <v>30</v>
      </c>
      <c r="AD31" s="7">
        <v>43</v>
      </c>
      <c r="AE31" s="7">
        <v>0</v>
      </c>
      <c r="AG31" s="456">
        <f t="shared" si="1"/>
        <v>0</v>
      </c>
      <c r="AH31" s="456">
        <f t="shared" si="0"/>
        <v>0</v>
      </c>
      <c r="AI31" s="456">
        <f t="shared" si="0"/>
        <v>0</v>
      </c>
      <c r="AJ31" s="456">
        <f t="shared" si="0"/>
        <v>0</v>
      </c>
      <c r="AK31" s="456">
        <f t="shared" si="0"/>
        <v>0</v>
      </c>
    </row>
    <row r="32" spans="1:37" s="329" customFormat="1" ht="14.25" customHeight="1">
      <c r="A32" s="342" t="s">
        <v>216</v>
      </c>
      <c r="B32" s="133">
        <v>-6</v>
      </c>
      <c r="C32" s="343" t="s">
        <v>52</v>
      </c>
      <c r="D32" s="163" t="s">
        <v>61</v>
      </c>
      <c r="E32" s="344">
        <v>2001</v>
      </c>
      <c r="F32" s="345">
        <v>10000</v>
      </c>
      <c r="G32" s="345">
        <v>35000</v>
      </c>
      <c r="H32" s="344" t="s">
        <v>29</v>
      </c>
      <c r="I32" s="344" t="s">
        <v>60</v>
      </c>
      <c r="J32" s="150">
        <v>40575</v>
      </c>
      <c r="K32" s="346">
        <v>41602</v>
      </c>
      <c r="L32" s="228">
        <v>456000</v>
      </c>
      <c r="M32" s="234">
        <v>517000</v>
      </c>
      <c r="N32" s="58"/>
      <c r="O32" s="274">
        <v>0</v>
      </c>
      <c r="P32" s="83">
        <v>0</v>
      </c>
      <c r="Q32" s="83">
        <v>0</v>
      </c>
      <c r="R32" s="139">
        <f>VLOOKUP($A32,'[1]2013'!$B$4:$V$48,21,0)</f>
        <v>0</v>
      </c>
      <c r="S32" s="274">
        <v>0</v>
      </c>
      <c r="T32" s="83">
        <v>0</v>
      </c>
      <c r="U32" s="83">
        <v>0</v>
      </c>
      <c r="V32" s="139">
        <v>0</v>
      </c>
      <c r="W32" s="329" t="s">
        <v>260</v>
      </c>
      <c r="AA32" s="329">
        <v>0</v>
      </c>
      <c r="AB32" s="329">
        <v>0</v>
      </c>
      <c r="AC32" s="329">
        <v>0</v>
      </c>
      <c r="AD32" s="329">
        <v>0</v>
      </c>
      <c r="AE32" s="329">
        <v>0</v>
      </c>
      <c r="AG32" s="457">
        <f t="shared" si="1"/>
        <v>0</v>
      </c>
      <c r="AH32" s="457">
        <f t="shared" si="0"/>
        <v>0</v>
      </c>
      <c r="AI32" s="457">
        <f t="shared" si="0"/>
        <v>0</v>
      </c>
      <c r="AJ32" s="457">
        <f t="shared" si="0"/>
        <v>0</v>
      </c>
      <c r="AK32" s="457">
        <f t="shared" si="0"/>
        <v>0</v>
      </c>
    </row>
    <row r="33" spans="1:37" s="329" customFormat="1" ht="14.25" customHeight="1">
      <c r="A33" s="347"/>
      <c r="B33" s="133">
        <v>-6</v>
      </c>
      <c r="C33" s="343"/>
      <c r="D33" s="163"/>
      <c r="E33" s="344"/>
      <c r="F33" s="345"/>
      <c r="G33" s="345"/>
      <c r="H33" s="344" t="s">
        <v>29</v>
      </c>
      <c r="I33" s="344" t="s">
        <v>217</v>
      </c>
      <c r="J33" s="346">
        <f>K32</f>
        <v>41602</v>
      </c>
      <c r="K33" s="346">
        <v>42698</v>
      </c>
      <c r="L33" s="228">
        <v>595000</v>
      </c>
      <c r="M33" s="234">
        <v>456000</v>
      </c>
      <c r="N33" s="58"/>
      <c r="O33" s="274" t="s">
        <v>51</v>
      </c>
      <c r="P33" s="83" t="s">
        <v>51</v>
      </c>
      <c r="Q33" s="83"/>
      <c r="R33" s="139"/>
      <c r="S33" s="274"/>
      <c r="T33" s="83"/>
      <c r="U33" s="83"/>
      <c r="V33" s="139"/>
      <c r="W33" s="329" t="s">
        <v>261</v>
      </c>
      <c r="AG33" s="457">
        <f t="shared" si="1"/>
        <v>0</v>
      </c>
      <c r="AH33" s="457">
        <f t="shared" si="0"/>
        <v>0</v>
      </c>
      <c r="AI33" s="457">
        <f t="shared" si="0"/>
        <v>0</v>
      </c>
      <c r="AJ33" s="457">
        <f t="shared" si="0"/>
        <v>0</v>
      </c>
      <c r="AK33" s="457">
        <f t="shared" si="0"/>
        <v>0</v>
      </c>
    </row>
    <row r="34" spans="1:37" ht="14.25" customHeight="1">
      <c r="A34" s="338" t="s">
        <v>163</v>
      </c>
      <c r="B34" s="198">
        <v>-6</v>
      </c>
      <c r="C34" s="51" t="s">
        <v>52</v>
      </c>
      <c r="D34" s="145" t="s">
        <v>61</v>
      </c>
      <c r="E34" s="51">
        <v>1999</v>
      </c>
      <c r="F34" s="52">
        <v>10000</v>
      </c>
      <c r="G34" s="52">
        <v>35000</v>
      </c>
      <c r="H34" s="51" t="s">
        <v>29</v>
      </c>
      <c r="I34" s="51" t="s">
        <v>45</v>
      </c>
      <c r="J34" s="146">
        <v>41275</v>
      </c>
      <c r="K34" s="280">
        <v>41943</v>
      </c>
      <c r="L34" s="58">
        <v>515000</v>
      </c>
      <c r="M34" s="63">
        <v>523000</v>
      </c>
      <c r="N34" s="58"/>
      <c r="O34" s="275">
        <v>0</v>
      </c>
      <c r="P34" s="34">
        <v>0</v>
      </c>
      <c r="Q34" s="34">
        <v>0</v>
      </c>
      <c r="R34" s="142">
        <v>0</v>
      </c>
      <c r="S34" s="275">
        <f>VLOOKUP($A34,'[1]2014'!$B$4:$R$53,14,0)</f>
        <v>0</v>
      </c>
      <c r="T34" s="34">
        <f>VLOOKUP($A34,'[1]2014'!$B$4:$R$53,15,0)</f>
        <v>0</v>
      </c>
      <c r="U34" s="34">
        <f>VLOOKUP($A34,'[1]2014'!$B$4:$R$53,16,0)</f>
        <v>0</v>
      </c>
      <c r="V34" s="142">
        <f>VLOOKUP($A34,'[1]2014'!$B$4:$R$53,17,0)</f>
        <v>12</v>
      </c>
      <c r="W34" s="7" t="s">
        <v>262</v>
      </c>
      <c r="AA34" s="7">
        <v>0</v>
      </c>
      <c r="AB34" s="7">
        <v>0</v>
      </c>
      <c r="AC34" s="7">
        <v>0</v>
      </c>
      <c r="AD34" s="7">
        <v>0</v>
      </c>
      <c r="AE34" s="7">
        <v>12</v>
      </c>
      <c r="AG34" s="456">
        <f t="shared" si="1"/>
        <v>0</v>
      </c>
      <c r="AH34" s="456">
        <f t="shared" si="0"/>
        <v>0</v>
      </c>
      <c r="AI34" s="456">
        <f t="shared" si="0"/>
        <v>0</v>
      </c>
      <c r="AJ34" s="456">
        <f t="shared" si="0"/>
        <v>0</v>
      </c>
      <c r="AK34" s="456">
        <f t="shared" si="0"/>
        <v>0</v>
      </c>
    </row>
    <row r="35" spans="1:37" s="329" customFormat="1" ht="14.25" customHeight="1">
      <c r="A35" s="348" t="s">
        <v>164</v>
      </c>
      <c r="B35" s="132">
        <v>-6</v>
      </c>
      <c r="C35" s="86" t="s">
        <v>52</v>
      </c>
      <c r="D35" s="163" t="s">
        <v>61</v>
      </c>
      <c r="E35" s="86">
        <v>2000</v>
      </c>
      <c r="F35" s="143">
        <v>10000</v>
      </c>
      <c r="G35" s="143">
        <v>35000</v>
      </c>
      <c r="H35" s="86" t="s">
        <v>29</v>
      </c>
      <c r="I35" s="86" t="s">
        <v>57</v>
      </c>
      <c r="J35" s="150">
        <v>41091</v>
      </c>
      <c r="K35" s="150">
        <v>41791</v>
      </c>
      <c r="L35" s="131">
        <v>555000</v>
      </c>
      <c r="M35" s="234">
        <v>546000</v>
      </c>
      <c r="N35" s="58"/>
      <c r="O35" s="274">
        <v>0</v>
      </c>
      <c r="P35" s="83">
        <v>0</v>
      </c>
      <c r="Q35" s="83">
        <v>0</v>
      </c>
      <c r="R35" s="139">
        <f>VLOOKUP($A35,'[1]2013'!$B$4:$V$48,21,0)</f>
        <v>0</v>
      </c>
      <c r="S35" s="274">
        <f>VLOOKUP($A35,'[1]2014'!$B$4:$R$53,14,0)</f>
        <v>0</v>
      </c>
      <c r="T35" s="83">
        <f>VLOOKUP($A35,'[1]2014'!$B$4:$R$53,15,0)</f>
        <v>0</v>
      </c>
      <c r="U35" s="83">
        <f>VLOOKUP($A35,'[1]2014'!$B$4:$R$53,16,0)</f>
        <v>84</v>
      </c>
      <c r="V35" s="139">
        <f>VLOOKUP($A35,'[1]2014'!$B$4:$R$53,17,0)</f>
        <v>0</v>
      </c>
      <c r="AA35" s="329">
        <v>7</v>
      </c>
      <c r="AB35" s="329">
        <v>0</v>
      </c>
      <c r="AC35" s="329">
        <v>0</v>
      </c>
      <c r="AD35" s="329">
        <v>84</v>
      </c>
      <c r="AE35" s="329">
        <v>0</v>
      </c>
      <c r="AG35" s="457">
        <f t="shared" si="1"/>
        <v>-7</v>
      </c>
      <c r="AH35" s="457">
        <f t="shared" si="0"/>
        <v>0</v>
      </c>
      <c r="AI35" s="457">
        <f t="shared" si="0"/>
        <v>0</v>
      </c>
      <c r="AJ35" s="457">
        <f t="shared" si="0"/>
        <v>0</v>
      </c>
      <c r="AK35" s="457">
        <f t="shared" si="0"/>
        <v>0</v>
      </c>
    </row>
    <row r="36" spans="1:37" ht="15.25" customHeight="1">
      <c r="A36" s="175" t="s">
        <v>165</v>
      </c>
      <c r="B36" s="198">
        <v>-6</v>
      </c>
      <c r="C36" s="51" t="s">
        <v>52</v>
      </c>
      <c r="D36" s="145" t="s">
        <v>61</v>
      </c>
      <c r="E36" s="51">
        <v>2000</v>
      </c>
      <c r="F36" s="52">
        <v>10000</v>
      </c>
      <c r="G36" s="52">
        <v>35000</v>
      </c>
      <c r="H36" s="51" t="s">
        <v>29</v>
      </c>
      <c r="I36" s="51" t="s">
        <v>13</v>
      </c>
      <c r="J36" s="146">
        <v>40878</v>
      </c>
      <c r="K36" s="146">
        <v>41671</v>
      </c>
      <c r="L36" s="58">
        <v>536000</v>
      </c>
      <c r="M36" s="63">
        <v>411000</v>
      </c>
      <c r="N36" s="58"/>
      <c r="O36" s="275">
        <v>0</v>
      </c>
      <c r="P36" s="34">
        <v>0</v>
      </c>
      <c r="Q36" s="34">
        <v>10</v>
      </c>
      <c r="R36" s="142">
        <f>VLOOKUP($A36,'[1]2013'!$B$4:$V$48,21,0)</f>
        <v>0</v>
      </c>
      <c r="S36" s="275">
        <v>0</v>
      </c>
      <c r="T36" s="34">
        <v>0</v>
      </c>
      <c r="U36" s="34">
        <v>0</v>
      </c>
      <c r="V36" s="142">
        <v>0</v>
      </c>
      <c r="AA36" s="7">
        <v>0</v>
      </c>
      <c r="AB36" s="7">
        <v>0</v>
      </c>
      <c r="AC36" s="7">
        <v>0</v>
      </c>
      <c r="AD36" s="7">
        <v>0</v>
      </c>
      <c r="AE36" s="7">
        <v>0</v>
      </c>
      <c r="AG36" s="456">
        <f t="shared" si="1"/>
        <v>0</v>
      </c>
      <c r="AH36" s="456">
        <f t="shared" si="1"/>
        <v>0</v>
      </c>
      <c r="AI36" s="456">
        <f t="shared" si="1"/>
        <v>0</v>
      </c>
      <c r="AJ36" s="456">
        <f t="shared" si="1"/>
        <v>0</v>
      </c>
      <c r="AK36" s="456">
        <f t="shared" si="1"/>
        <v>0</v>
      </c>
    </row>
    <row r="37" spans="1:37" s="329" customFormat="1" ht="15.25" customHeight="1">
      <c r="A37" s="349" t="s">
        <v>166</v>
      </c>
      <c r="B37" s="133" t="s">
        <v>253</v>
      </c>
      <c r="C37" s="233" t="s">
        <v>52</v>
      </c>
      <c r="D37" s="163" t="s">
        <v>61</v>
      </c>
      <c r="E37" s="172">
        <v>2000</v>
      </c>
      <c r="F37" s="173">
        <v>10000</v>
      </c>
      <c r="G37" s="173">
        <v>35000</v>
      </c>
      <c r="H37" s="174" t="s">
        <v>34</v>
      </c>
      <c r="I37" s="150" t="s">
        <v>36</v>
      </c>
      <c r="J37" s="150">
        <v>39965</v>
      </c>
      <c r="K37" s="150">
        <v>41821</v>
      </c>
      <c r="L37" s="131">
        <v>445000</v>
      </c>
      <c r="M37" s="234">
        <v>297000</v>
      </c>
      <c r="N37" s="58"/>
      <c r="O37" s="274">
        <v>0</v>
      </c>
      <c r="P37" s="83">
        <v>0</v>
      </c>
      <c r="Q37" s="83">
        <v>0</v>
      </c>
      <c r="R37" s="139">
        <v>0</v>
      </c>
      <c r="S37" s="274">
        <f>VLOOKUP($A37,'[1]2014'!$B$4:$R$53,14,0)</f>
        <v>0</v>
      </c>
      <c r="T37" s="83">
        <f>VLOOKUP($A37,'[1]2014'!$B$4:$R$53,15,0)</f>
        <v>0</v>
      </c>
      <c r="U37" s="83">
        <f>VLOOKUP($A37,'[1]2014'!$B$4:$R$53,16,0)</f>
        <v>5</v>
      </c>
      <c r="V37" s="139">
        <f>VLOOKUP($A37,'[1]2014'!$B$4:$R$53,17,0)</f>
        <v>92</v>
      </c>
      <c r="AA37" s="329">
        <v>0</v>
      </c>
      <c r="AB37" s="329">
        <v>0</v>
      </c>
      <c r="AC37" s="329">
        <v>0</v>
      </c>
      <c r="AD37" s="329">
        <v>5</v>
      </c>
      <c r="AE37" s="329">
        <v>92</v>
      </c>
      <c r="AG37" s="457">
        <f t="shared" si="1"/>
        <v>0</v>
      </c>
      <c r="AH37" s="457">
        <f t="shared" si="1"/>
        <v>0</v>
      </c>
      <c r="AI37" s="457">
        <f t="shared" si="1"/>
        <v>0</v>
      </c>
      <c r="AJ37" s="457">
        <f t="shared" si="1"/>
        <v>0</v>
      </c>
      <c r="AK37" s="457">
        <f t="shared" si="1"/>
        <v>0</v>
      </c>
    </row>
    <row r="38" spans="1:37">
      <c r="A38" s="154" t="s">
        <v>167</v>
      </c>
      <c r="B38" s="250" t="s">
        <v>145</v>
      </c>
      <c r="C38" s="51" t="s">
        <v>52</v>
      </c>
      <c r="D38" s="141" t="s">
        <v>61</v>
      </c>
      <c r="E38" s="51">
        <v>2000</v>
      </c>
      <c r="F38" s="52">
        <v>10000</v>
      </c>
      <c r="G38" s="52">
        <v>30000</v>
      </c>
      <c r="H38" s="51" t="s">
        <v>31</v>
      </c>
      <c r="I38" s="51"/>
      <c r="J38" s="166"/>
      <c r="K38" s="166"/>
      <c r="L38" s="213"/>
      <c r="M38" s="63"/>
      <c r="N38" s="58"/>
      <c r="O38" s="275">
        <v>0</v>
      </c>
      <c r="P38" s="34">
        <v>0</v>
      </c>
      <c r="Q38" s="34">
        <v>52.958333333333329</v>
      </c>
      <c r="R38" s="142">
        <f>VLOOKUP($A38,'[1]2013'!$B$4:$V$48,21,0)</f>
        <v>31</v>
      </c>
      <c r="S38" s="275">
        <f>VLOOKUP($A38,'[1]2014'!$B$4:$R$53,14,0)</f>
        <v>0</v>
      </c>
      <c r="T38" s="34">
        <f>VLOOKUP($A38,'[1]2014'!$B$4:$R$53,15,0)</f>
        <v>0</v>
      </c>
      <c r="U38" s="34">
        <f>VLOOKUP($A38,'[1]2014'!$B$4:$R$53,16,0)</f>
        <v>0</v>
      </c>
      <c r="V38" s="142">
        <f>VLOOKUP($A38,'[1]2014'!$B$4:$R$53,17,0)</f>
        <v>0</v>
      </c>
      <c r="AA38" s="7">
        <v>31</v>
      </c>
      <c r="AB38" s="7">
        <v>0</v>
      </c>
      <c r="AC38" s="7">
        <v>0</v>
      </c>
      <c r="AD38" s="7">
        <v>0</v>
      </c>
      <c r="AE38" s="7">
        <v>0</v>
      </c>
      <c r="AG38" s="456">
        <f t="shared" si="1"/>
        <v>0</v>
      </c>
      <c r="AH38" s="456">
        <f t="shared" si="1"/>
        <v>0</v>
      </c>
      <c r="AI38" s="456">
        <f t="shared" si="1"/>
        <v>0</v>
      </c>
      <c r="AJ38" s="456">
        <f t="shared" si="1"/>
        <v>0</v>
      </c>
      <c r="AK38" s="456">
        <f t="shared" si="1"/>
        <v>0</v>
      </c>
    </row>
    <row r="39" spans="1:37" s="329" customFormat="1" ht="13.5" customHeight="1">
      <c r="A39" s="148" t="s">
        <v>168</v>
      </c>
      <c r="B39" s="132"/>
      <c r="C39" s="86" t="s">
        <v>52</v>
      </c>
      <c r="D39" s="138" t="s">
        <v>61</v>
      </c>
      <c r="E39" s="86">
        <v>1999</v>
      </c>
      <c r="F39" s="143">
        <v>10000</v>
      </c>
      <c r="G39" s="143">
        <v>30000</v>
      </c>
      <c r="H39" s="86" t="s">
        <v>90</v>
      </c>
      <c r="I39" s="86" t="s">
        <v>59</v>
      </c>
      <c r="J39" s="147">
        <v>41333</v>
      </c>
      <c r="K39" s="147">
        <v>41671</v>
      </c>
      <c r="L39" s="131">
        <v>534000</v>
      </c>
      <c r="M39" s="234">
        <v>475000</v>
      </c>
      <c r="N39" s="58"/>
      <c r="O39" s="274">
        <v>0</v>
      </c>
      <c r="P39" s="83">
        <v>0</v>
      </c>
      <c r="Q39" s="83">
        <v>0</v>
      </c>
      <c r="R39" s="139">
        <v>0</v>
      </c>
      <c r="S39" s="274">
        <f>VLOOKUP($A39,'[1]2014'!$B$4:$R$53,14,0)</f>
        <v>14</v>
      </c>
      <c r="T39" s="83">
        <f>VLOOKUP($A39,'[1]2014'!$B$4:$R$53,15,0)</f>
        <v>0</v>
      </c>
      <c r="U39" s="83">
        <f>VLOOKUP($A39,'[1]2014'!$B$4:$R$53,16,0)</f>
        <v>0</v>
      </c>
      <c r="V39" s="139">
        <f>VLOOKUP($A39,'[1]2014'!$B$4:$R$53,17,0)</f>
        <v>0</v>
      </c>
      <c r="AA39" s="329">
        <v>0</v>
      </c>
      <c r="AB39" s="329">
        <v>14</v>
      </c>
      <c r="AC39" s="329">
        <v>0</v>
      </c>
      <c r="AD39" s="329">
        <v>0</v>
      </c>
      <c r="AE39" s="329">
        <v>0</v>
      </c>
      <c r="AG39" s="457">
        <f t="shared" si="1"/>
        <v>0</v>
      </c>
      <c r="AH39" s="457">
        <f t="shared" si="1"/>
        <v>0</v>
      </c>
      <c r="AI39" s="457">
        <f t="shared" si="1"/>
        <v>0</v>
      </c>
      <c r="AJ39" s="457">
        <f t="shared" si="1"/>
        <v>0</v>
      </c>
      <c r="AK39" s="457">
        <f t="shared" si="1"/>
        <v>0</v>
      </c>
    </row>
    <row r="40" spans="1:37" s="329" customFormat="1" ht="13.5" customHeight="1">
      <c r="A40" s="148"/>
      <c r="B40" s="132"/>
      <c r="C40" s="86"/>
      <c r="D40" s="138"/>
      <c r="E40" s="86"/>
      <c r="F40" s="143"/>
      <c r="G40" s="143"/>
      <c r="H40" s="86" t="s">
        <v>90</v>
      </c>
      <c r="I40" s="86" t="s">
        <v>59</v>
      </c>
      <c r="J40" s="147">
        <v>41698</v>
      </c>
      <c r="K40" s="147">
        <v>41913</v>
      </c>
      <c r="L40" s="131">
        <v>565000</v>
      </c>
      <c r="M40" s="234">
        <v>534000</v>
      </c>
      <c r="N40" s="58"/>
      <c r="O40" s="274"/>
      <c r="P40" s="83"/>
      <c r="Q40" s="83"/>
      <c r="R40" s="139">
        <v>0</v>
      </c>
      <c r="S40" s="274">
        <v>0</v>
      </c>
      <c r="T40" s="83">
        <v>0</v>
      </c>
      <c r="U40" s="83">
        <v>0</v>
      </c>
      <c r="V40" s="139">
        <v>0</v>
      </c>
      <c r="AG40" s="457">
        <f t="shared" si="1"/>
        <v>0</v>
      </c>
      <c r="AH40" s="457">
        <f t="shared" si="1"/>
        <v>0</v>
      </c>
      <c r="AI40" s="457">
        <f t="shared" si="1"/>
        <v>0</v>
      </c>
      <c r="AJ40" s="457">
        <f t="shared" si="1"/>
        <v>0</v>
      </c>
      <c r="AK40" s="457">
        <f t="shared" si="1"/>
        <v>0</v>
      </c>
    </row>
    <row r="41" spans="1:37" s="230" customFormat="1">
      <c r="A41" s="419" t="s">
        <v>169</v>
      </c>
      <c r="B41" s="250" t="s">
        <v>103</v>
      </c>
      <c r="C41" s="51" t="s">
        <v>52</v>
      </c>
      <c r="D41" s="141" t="s">
        <v>61</v>
      </c>
      <c r="E41" s="51">
        <v>1999</v>
      </c>
      <c r="F41" s="52">
        <v>10000</v>
      </c>
      <c r="G41" s="52">
        <v>30000</v>
      </c>
      <c r="H41" s="336" t="s">
        <v>38</v>
      </c>
      <c r="I41" s="336" t="s">
        <v>236</v>
      </c>
      <c r="J41" s="166">
        <v>41671</v>
      </c>
      <c r="K41" s="166">
        <v>42050</v>
      </c>
      <c r="L41" s="58">
        <v>603000</v>
      </c>
      <c r="M41" s="63">
        <v>570000</v>
      </c>
      <c r="N41" s="58"/>
      <c r="O41" s="275">
        <v>0</v>
      </c>
      <c r="P41" s="34">
        <v>0</v>
      </c>
      <c r="Q41" s="34">
        <v>15.5</v>
      </c>
      <c r="R41" s="142">
        <f>VLOOKUP($A41,'[1]2013'!$B$4:$V$48,21,0)</f>
        <v>92</v>
      </c>
      <c r="S41" s="275">
        <f>VLOOKUP($A41,'[1]2014'!$B$4:$R$53,14,0)</f>
        <v>52</v>
      </c>
      <c r="T41" s="34">
        <f>VLOOKUP($A41,'[1]2014'!$B$4:$R$53,15,0)</f>
        <v>0</v>
      </c>
      <c r="U41" s="34">
        <f>VLOOKUP($A41,'[1]2014'!$B$4:$R$53,16,0)</f>
        <v>0</v>
      </c>
      <c r="V41" s="142">
        <f>VLOOKUP($A41,'[1]2014'!$B$4:$R$53,17,0)</f>
        <v>0</v>
      </c>
      <c r="AA41" s="230">
        <v>92</v>
      </c>
      <c r="AB41" s="230">
        <v>52</v>
      </c>
      <c r="AC41" s="230">
        <v>0</v>
      </c>
      <c r="AD41" s="230">
        <v>0</v>
      </c>
      <c r="AE41" s="230">
        <v>0</v>
      </c>
      <c r="AG41" s="458">
        <f t="shared" si="1"/>
        <v>0</v>
      </c>
      <c r="AH41" s="458">
        <f t="shared" si="1"/>
        <v>0</v>
      </c>
      <c r="AI41" s="458">
        <f t="shared" si="1"/>
        <v>0</v>
      </c>
      <c r="AJ41" s="458">
        <f t="shared" si="1"/>
        <v>0</v>
      </c>
      <c r="AK41" s="458">
        <f t="shared" si="1"/>
        <v>0</v>
      </c>
    </row>
    <row r="42" spans="1:37" s="230" customFormat="1">
      <c r="A42" s="337"/>
      <c r="B42" s="250" t="s">
        <v>103</v>
      </c>
      <c r="C42" s="51"/>
      <c r="D42" s="141"/>
      <c r="E42" s="51"/>
      <c r="F42" s="52"/>
      <c r="G42" s="52"/>
      <c r="H42" s="336" t="s">
        <v>38</v>
      </c>
      <c r="I42" s="336" t="s">
        <v>236</v>
      </c>
      <c r="J42" s="166">
        <f>+K41</f>
        <v>42050</v>
      </c>
      <c r="K42" s="166">
        <v>42421</v>
      </c>
      <c r="L42" s="58">
        <v>614000</v>
      </c>
      <c r="M42" s="63">
        <f>+L41</f>
        <v>603000</v>
      </c>
      <c r="N42" s="58"/>
      <c r="O42" s="275" t="s">
        <v>51</v>
      </c>
      <c r="P42" s="34" t="s">
        <v>51</v>
      </c>
      <c r="Q42" s="34"/>
      <c r="R42" s="142">
        <v>0</v>
      </c>
      <c r="S42" s="275">
        <v>0</v>
      </c>
      <c r="T42" s="34">
        <v>0</v>
      </c>
      <c r="U42" s="34">
        <v>0</v>
      </c>
      <c r="V42" s="142">
        <v>0</v>
      </c>
      <c r="AG42" s="458">
        <f t="shared" si="1"/>
        <v>0</v>
      </c>
      <c r="AH42" s="458">
        <f t="shared" si="1"/>
        <v>0</v>
      </c>
      <c r="AI42" s="458">
        <f t="shared" si="1"/>
        <v>0</v>
      </c>
      <c r="AJ42" s="458">
        <f t="shared" si="1"/>
        <v>0</v>
      </c>
      <c r="AK42" s="458">
        <f t="shared" si="1"/>
        <v>0</v>
      </c>
    </row>
    <row r="43" spans="1:37" s="329" customFormat="1" ht="14.25" customHeight="1">
      <c r="A43" s="153" t="s">
        <v>170</v>
      </c>
      <c r="B43" s="132">
        <v>-6</v>
      </c>
      <c r="C43" s="86" t="s">
        <v>52</v>
      </c>
      <c r="D43" s="138" t="s">
        <v>61</v>
      </c>
      <c r="E43" s="86">
        <v>1998</v>
      </c>
      <c r="F43" s="143">
        <v>10000</v>
      </c>
      <c r="G43" s="143">
        <v>30000</v>
      </c>
      <c r="H43" s="86" t="s">
        <v>29</v>
      </c>
      <c r="I43" s="86" t="s">
        <v>67</v>
      </c>
      <c r="J43" s="147">
        <v>40391</v>
      </c>
      <c r="K43" s="147">
        <v>42095</v>
      </c>
      <c r="L43" s="131">
        <v>678000</v>
      </c>
      <c r="M43" s="234">
        <v>550000</v>
      </c>
      <c r="N43" s="58"/>
      <c r="O43" s="274">
        <v>0</v>
      </c>
      <c r="P43" s="83">
        <v>0</v>
      </c>
      <c r="Q43" s="83">
        <v>0</v>
      </c>
      <c r="R43" s="139">
        <f>VLOOKUP($A43,'[1]2013'!$B$4:$V$48,21,0)</f>
        <v>0</v>
      </c>
      <c r="S43" s="274">
        <v>0</v>
      </c>
      <c r="T43" s="83">
        <v>0</v>
      </c>
      <c r="U43" s="83">
        <v>0</v>
      </c>
      <c r="V43" s="139">
        <v>0</v>
      </c>
      <c r="AA43" s="329">
        <v>7</v>
      </c>
      <c r="AB43" s="329">
        <v>0</v>
      </c>
      <c r="AC43" s="329">
        <v>0</v>
      </c>
      <c r="AD43" s="329">
        <v>0</v>
      </c>
      <c r="AE43" s="329">
        <v>0</v>
      </c>
      <c r="AG43" s="457">
        <f t="shared" si="1"/>
        <v>-7</v>
      </c>
      <c r="AH43" s="457">
        <f t="shared" si="1"/>
        <v>0</v>
      </c>
      <c r="AI43" s="457">
        <f t="shared" si="1"/>
        <v>0</v>
      </c>
      <c r="AJ43" s="457">
        <f t="shared" si="1"/>
        <v>0</v>
      </c>
      <c r="AK43" s="457">
        <f t="shared" si="1"/>
        <v>0</v>
      </c>
    </row>
    <row r="44" spans="1:37" ht="13.5" customHeight="1">
      <c r="A44" s="154" t="s">
        <v>153</v>
      </c>
      <c r="B44" s="250"/>
      <c r="C44" s="51" t="s">
        <v>52</v>
      </c>
      <c r="D44" s="145" t="s">
        <v>61</v>
      </c>
      <c r="E44" s="51">
        <v>1999</v>
      </c>
      <c r="F44" s="52">
        <v>8500</v>
      </c>
      <c r="G44" s="52">
        <v>30000</v>
      </c>
      <c r="H44" s="149" t="s">
        <v>229</v>
      </c>
      <c r="I44" s="149" t="s">
        <v>230</v>
      </c>
      <c r="J44" s="146">
        <v>41214</v>
      </c>
      <c r="K44" s="146">
        <v>41944</v>
      </c>
      <c r="L44" s="213">
        <v>650000</v>
      </c>
      <c r="M44" s="63">
        <v>640000</v>
      </c>
      <c r="N44" s="58"/>
      <c r="O44" s="275">
        <v>0</v>
      </c>
      <c r="P44" s="34">
        <v>0</v>
      </c>
      <c r="Q44" s="34">
        <v>0</v>
      </c>
      <c r="R44" s="142">
        <v>0</v>
      </c>
      <c r="S44" s="275">
        <v>0</v>
      </c>
      <c r="T44" s="34">
        <v>0</v>
      </c>
      <c r="U44" s="34">
        <v>0</v>
      </c>
      <c r="V44" s="142">
        <v>0</v>
      </c>
      <c r="AA44" s="7">
        <v>0</v>
      </c>
      <c r="AB44" s="7">
        <v>0</v>
      </c>
      <c r="AC44" s="7">
        <v>0</v>
      </c>
      <c r="AD44" s="7">
        <v>0</v>
      </c>
      <c r="AE44" s="7">
        <v>0</v>
      </c>
      <c r="AG44" s="456">
        <f t="shared" si="1"/>
        <v>0</v>
      </c>
      <c r="AH44" s="456">
        <f t="shared" si="1"/>
        <v>0</v>
      </c>
      <c r="AI44" s="456">
        <f t="shared" si="1"/>
        <v>0</v>
      </c>
      <c r="AJ44" s="456">
        <f t="shared" si="1"/>
        <v>0</v>
      </c>
      <c r="AK44" s="456">
        <f t="shared" si="1"/>
        <v>0</v>
      </c>
    </row>
    <row r="45" spans="1:37" s="329" customFormat="1" ht="15.25" customHeight="1">
      <c r="A45" s="151" t="s">
        <v>171</v>
      </c>
      <c r="B45" s="133" t="s">
        <v>254</v>
      </c>
      <c r="C45" s="86" t="s">
        <v>53</v>
      </c>
      <c r="D45" s="163" t="s">
        <v>61</v>
      </c>
      <c r="E45" s="86">
        <v>2001</v>
      </c>
      <c r="F45" s="143">
        <v>8500</v>
      </c>
      <c r="G45" s="143">
        <v>35000</v>
      </c>
      <c r="H45" s="249" t="s">
        <v>235</v>
      </c>
      <c r="I45" s="249" t="s">
        <v>231</v>
      </c>
      <c r="J45" s="150">
        <v>41548</v>
      </c>
      <c r="K45" s="150">
        <v>41883</v>
      </c>
      <c r="L45" s="131">
        <v>600000</v>
      </c>
      <c r="M45" s="234">
        <v>520000</v>
      </c>
      <c r="N45" s="58"/>
      <c r="O45" s="274">
        <v>0</v>
      </c>
      <c r="P45" s="83">
        <v>1</v>
      </c>
      <c r="Q45" s="83">
        <v>92</v>
      </c>
      <c r="R45" s="139">
        <f>VLOOKUP($A45,'[1]2013'!$B$4:$V$48,21,0)</f>
        <v>22.541666666666668</v>
      </c>
      <c r="S45" s="274">
        <v>0</v>
      </c>
      <c r="T45" s="83">
        <v>0</v>
      </c>
      <c r="U45" s="83">
        <v>0</v>
      </c>
      <c r="V45" s="139">
        <v>0</v>
      </c>
      <c r="AA45" s="329">
        <v>13</v>
      </c>
      <c r="AB45" s="329">
        <v>0</v>
      </c>
      <c r="AC45" s="329">
        <v>0</v>
      </c>
      <c r="AD45" s="329">
        <v>0</v>
      </c>
      <c r="AE45" s="329">
        <v>0</v>
      </c>
      <c r="AG45" s="457">
        <f t="shared" si="1"/>
        <v>9.5416666666666679</v>
      </c>
      <c r="AH45" s="457">
        <f t="shared" si="1"/>
        <v>0</v>
      </c>
      <c r="AI45" s="457">
        <f t="shared" si="1"/>
        <v>0</v>
      </c>
      <c r="AJ45" s="457">
        <f t="shared" si="1"/>
        <v>0</v>
      </c>
      <c r="AK45" s="457">
        <f t="shared" si="1"/>
        <v>0</v>
      </c>
    </row>
    <row r="46" spans="1:37" ht="14.25" customHeight="1">
      <c r="A46" s="152" t="s">
        <v>172</v>
      </c>
      <c r="B46" s="198" t="s">
        <v>255</v>
      </c>
      <c r="C46" s="51" t="s">
        <v>53</v>
      </c>
      <c r="D46" s="51"/>
      <c r="E46" s="51">
        <v>2000</v>
      </c>
      <c r="F46" s="52">
        <v>8000</v>
      </c>
      <c r="G46" s="52">
        <v>30000</v>
      </c>
      <c r="H46" s="51" t="s">
        <v>29</v>
      </c>
      <c r="I46" s="51" t="s">
        <v>35</v>
      </c>
      <c r="J46" s="146">
        <v>41122</v>
      </c>
      <c r="K46" s="146">
        <v>42948</v>
      </c>
      <c r="L46" s="58">
        <v>533000</v>
      </c>
      <c r="M46" s="63">
        <v>551000</v>
      </c>
      <c r="N46" s="58"/>
      <c r="O46" s="275">
        <v>0</v>
      </c>
      <c r="P46" s="34">
        <v>0</v>
      </c>
      <c r="Q46" s="34">
        <v>0</v>
      </c>
      <c r="R46" s="142">
        <v>0</v>
      </c>
      <c r="S46" s="275">
        <f>VLOOKUP($A46,'[1]2014'!$B$4:$R$53,14,0)</f>
        <v>0</v>
      </c>
      <c r="T46" s="34">
        <f>VLOOKUP($A46,'[1]2014'!$B$4:$R$53,15,0)</f>
        <v>0</v>
      </c>
      <c r="U46" s="34">
        <f>VLOOKUP($A46,'[1]2014'!$B$4:$R$53,16,0)</f>
        <v>30</v>
      </c>
      <c r="V46" s="142">
        <f>VLOOKUP($A46,'[1]2014'!$B$4:$R$53,17,0)</f>
        <v>92</v>
      </c>
      <c r="AA46" s="7">
        <v>0</v>
      </c>
      <c r="AB46" s="7">
        <v>0</v>
      </c>
      <c r="AC46" s="7">
        <v>0</v>
      </c>
      <c r="AD46" s="7">
        <v>30</v>
      </c>
      <c r="AE46" s="7">
        <v>92</v>
      </c>
      <c r="AG46" s="456">
        <f t="shared" si="1"/>
        <v>0</v>
      </c>
      <c r="AH46" s="456">
        <f t="shared" si="1"/>
        <v>0</v>
      </c>
      <c r="AI46" s="456">
        <f t="shared" si="1"/>
        <v>0</v>
      </c>
      <c r="AJ46" s="456">
        <f t="shared" si="1"/>
        <v>0</v>
      </c>
      <c r="AK46" s="456">
        <f t="shared" si="1"/>
        <v>0</v>
      </c>
    </row>
    <row r="47" spans="1:37" s="329" customFormat="1">
      <c r="A47" s="350" t="s">
        <v>69</v>
      </c>
      <c r="B47" s="133"/>
      <c r="C47" s="351" t="s">
        <v>52</v>
      </c>
      <c r="D47" s="163" t="s">
        <v>61</v>
      </c>
      <c r="E47" s="351" t="s">
        <v>70</v>
      </c>
      <c r="F47" s="143">
        <v>7800</v>
      </c>
      <c r="G47" s="352">
        <v>30000</v>
      </c>
      <c r="H47" s="86" t="s">
        <v>40</v>
      </c>
      <c r="I47" s="86" t="s">
        <v>41</v>
      </c>
      <c r="J47" s="150">
        <v>41479</v>
      </c>
      <c r="K47" s="150">
        <v>41843</v>
      </c>
      <c r="L47" s="131">
        <v>412000</v>
      </c>
      <c r="M47" s="234" t="s">
        <v>42</v>
      </c>
      <c r="N47" s="58"/>
      <c r="O47" s="274">
        <v>19</v>
      </c>
      <c r="P47" s="83">
        <v>37</v>
      </c>
      <c r="Q47" s="83">
        <v>22.6875</v>
      </c>
      <c r="R47" s="139">
        <f>VLOOKUP($A47,'[1]2013'!$B$4:$V$48,21,0)</f>
        <v>0</v>
      </c>
      <c r="S47" s="274">
        <f>VLOOKUP($A47,'[1]2014'!$B$4:$R$53,14,0)</f>
        <v>0</v>
      </c>
      <c r="T47" s="83">
        <f>VLOOKUP($A47,'[1]2014'!$B$4:$R$53,15,0)</f>
        <v>0</v>
      </c>
      <c r="U47" s="83">
        <f>VLOOKUP($A47,'[1]2014'!$B$4:$R$53,16,0)</f>
        <v>0</v>
      </c>
      <c r="V47" s="139">
        <f>VLOOKUP($A47,'[1]2014'!$B$4:$R$53,17,0)</f>
        <v>0</v>
      </c>
      <c r="AA47" s="329">
        <v>0</v>
      </c>
      <c r="AB47" s="329">
        <v>0</v>
      </c>
      <c r="AC47" s="329">
        <v>0</v>
      </c>
      <c r="AD47" s="329">
        <v>0</v>
      </c>
      <c r="AE47" s="329">
        <v>0</v>
      </c>
      <c r="AG47" s="457">
        <f t="shared" si="1"/>
        <v>0</v>
      </c>
      <c r="AH47" s="457">
        <f t="shared" si="1"/>
        <v>0</v>
      </c>
      <c r="AI47" s="457">
        <f t="shared" si="1"/>
        <v>0</v>
      </c>
      <c r="AJ47" s="457">
        <f t="shared" si="1"/>
        <v>0</v>
      </c>
      <c r="AK47" s="457">
        <f t="shared" si="1"/>
        <v>0</v>
      </c>
    </row>
    <row r="48" spans="1:37" ht="14.25" customHeight="1">
      <c r="A48" s="154" t="s">
        <v>173</v>
      </c>
      <c r="B48" s="250" t="s">
        <v>223</v>
      </c>
      <c r="C48" s="51" t="s">
        <v>52</v>
      </c>
      <c r="D48" s="145" t="s">
        <v>61</v>
      </c>
      <c r="E48" s="51">
        <v>2010</v>
      </c>
      <c r="F48" s="52">
        <v>7500</v>
      </c>
      <c r="G48" s="52">
        <v>40000</v>
      </c>
      <c r="H48" s="51" t="s">
        <v>39</v>
      </c>
      <c r="I48" s="51" t="s">
        <v>45</v>
      </c>
      <c r="J48" s="166">
        <v>40544</v>
      </c>
      <c r="K48" s="166">
        <v>43101</v>
      </c>
      <c r="L48" s="58">
        <v>470000</v>
      </c>
      <c r="M48" s="63" t="s">
        <v>42</v>
      </c>
      <c r="N48" s="58"/>
      <c r="O48" s="275">
        <v>0</v>
      </c>
      <c r="P48" s="34">
        <v>0</v>
      </c>
      <c r="Q48" s="34">
        <v>0</v>
      </c>
      <c r="R48" s="142">
        <v>0</v>
      </c>
      <c r="S48" s="275">
        <v>0</v>
      </c>
      <c r="T48" s="34">
        <v>0</v>
      </c>
      <c r="U48" s="34">
        <v>0</v>
      </c>
      <c r="V48" s="142">
        <v>0</v>
      </c>
      <c r="AA48" s="7">
        <v>0</v>
      </c>
      <c r="AB48" s="7">
        <v>0</v>
      </c>
      <c r="AC48" s="7">
        <v>0</v>
      </c>
      <c r="AD48" s="7">
        <v>0</v>
      </c>
      <c r="AE48" s="7">
        <v>0</v>
      </c>
      <c r="AG48" s="456">
        <f t="shared" si="1"/>
        <v>0</v>
      </c>
      <c r="AH48" s="456">
        <f t="shared" si="1"/>
        <v>0</v>
      </c>
      <c r="AI48" s="456">
        <f t="shared" si="1"/>
        <v>0</v>
      </c>
      <c r="AJ48" s="456">
        <f t="shared" si="1"/>
        <v>0</v>
      </c>
      <c r="AK48" s="456">
        <f t="shared" si="1"/>
        <v>0</v>
      </c>
    </row>
    <row r="49" spans="1:37" s="232" customFormat="1" ht="14.25" customHeight="1">
      <c r="A49" s="148" t="s">
        <v>174</v>
      </c>
      <c r="B49" s="132">
        <v>-6</v>
      </c>
      <c r="C49" s="86" t="s">
        <v>53</v>
      </c>
      <c r="D49" s="163" t="s">
        <v>61</v>
      </c>
      <c r="E49" s="86">
        <v>2005</v>
      </c>
      <c r="F49" s="143">
        <v>7500</v>
      </c>
      <c r="G49" s="143">
        <v>37500</v>
      </c>
      <c r="H49" s="86" t="s">
        <v>29</v>
      </c>
      <c r="I49" s="86" t="s">
        <v>13</v>
      </c>
      <c r="J49" s="150">
        <v>41183</v>
      </c>
      <c r="K49" s="150">
        <v>41852</v>
      </c>
      <c r="L49" s="131">
        <v>580000</v>
      </c>
      <c r="M49" s="234">
        <v>525000</v>
      </c>
      <c r="N49" s="58"/>
      <c r="O49" s="274">
        <v>0</v>
      </c>
      <c r="P49" s="83">
        <v>0</v>
      </c>
      <c r="Q49" s="83">
        <v>2.7083333333333335</v>
      </c>
      <c r="R49" s="139">
        <f>VLOOKUP($A49,'[1]2013'!$B$4:$V$48,21,0)</f>
        <v>59</v>
      </c>
      <c r="S49" s="274">
        <f>VLOOKUP($A49,'[1]2014'!$B$4:$R$53,14,0)</f>
        <v>0</v>
      </c>
      <c r="T49" s="83">
        <f>VLOOKUP($A49,'[1]2014'!$B$4:$R$53,15,0)</f>
        <v>0</v>
      </c>
      <c r="U49" s="83">
        <f>VLOOKUP($A49,'[1]2014'!$B$4:$R$53,16,0)</f>
        <v>0</v>
      </c>
      <c r="V49" s="139">
        <f>VLOOKUP($A49,'[1]2014'!$B$4:$R$53,17,0)</f>
        <v>0</v>
      </c>
      <c r="AA49" s="232">
        <v>59</v>
      </c>
      <c r="AB49" s="232">
        <v>0</v>
      </c>
      <c r="AC49" s="232">
        <v>0</v>
      </c>
      <c r="AD49" s="232">
        <v>0</v>
      </c>
      <c r="AE49" s="232">
        <v>0</v>
      </c>
      <c r="AG49" s="454">
        <f t="shared" si="1"/>
        <v>0</v>
      </c>
      <c r="AH49" s="454">
        <f t="shared" si="1"/>
        <v>0</v>
      </c>
      <c r="AI49" s="454">
        <f t="shared" si="1"/>
        <v>0</v>
      </c>
      <c r="AJ49" s="454">
        <f t="shared" si="1"/>
        <v>0</v>
      </c>
      <c r="AK49" s="454">
        <f t="shared" si="1"/>
        <v>0</v>
      </c>
    </row>
    <row r="50" spans="1:37" s="36" customFormat="1" ht="14.25" customHeight="1">
      <c r="A50" s="144" t="s">
        <v>175</v>
      </c>
      <c r="B50" s="198">
        <v>-6</v>
      </c>
      <c r="C50" s="51" t="s">
        <v>53</v>
      </c>
      <c r="D50" s="145" t="s">
        <v>61</v>
      </c>
      <c r="E50" s="51">
        <v>2005</v>
      </c>
      <c r="F50" s="52">
        <v>7500</v>
      </c>
      <c r="G50" s="52">
        <v>37500</v>
      </c>
      <c r="H50" s="51" t="s">
        <v>29</v>
      </c>
      <c r="I50" s="51" t="s">
        <v>45</v>
      </c>
      <c r="J50" s="146">
        <v>39753</v>
      </c>
      <c r="K50" s="146">
        <v>41579</v>
      </c>
      <c r="L50" s="58">
        <v>603000</v>
      </c>
      <c r="M50" s="63">
        <v>208000</v>
      </c>
      <c r="N50" s="54"/>
      <c r="O50" s="275">
        <v>0</v>
      </c>
      <c r="P50" s="34">
        <v>0</v>
      </c>
      <c r="Q50" s="34">
        <v>0</v>
      </c>
      <c r="R50" s="142">
        <v>0</v>
      </c>
      <c r="S50" s="275">
        <f>VLOOKUP($A50,'[1]2014'!$B$4:$R$53,14,0)</f>
        <v>16</v>
      </c>
      <c r="T50" s="34">
        <f>VLOOKUP($A50,'[1]2014'!$B$4:$R$53,15,0)</f>
        <v>4</v>
      </c>
      <c r="U50" s="34">
        <f>VLOOKUP($A50,'[1]2014'!$B$4:$R$53,16,0)</f>
        <v>0</v>
      </c>
      <c r="V50" s="142">
        <f>VLOOKUP($A50,'[1]2014'!$B$4:$R$53,17,0)</f>
        <v>0</v>
      </c>
      <c r="AA50" s="36">
        <v>0</v>
      </c>
      <c r="AB50" s="36">
        <v>16</v>
      </c>
      <c r="AC50" s="36">
        <v>4</v>
      </c>
      <c r="AD50" s="36">
        <v>0</v>
      </c>
      <c r="AE50" s="36">
        <v>0</v>
      </c>
      <c r="AG50" s="455">
        <f t="shared" si="1"/>
        <v>0</v>
      </c>
      <c r="AH50" s="455">
        <f t="shared" si="1"/>
        <v>0</v>
      </c>
      <c r="AI50" s="455">
        <f t="shared" si="1"/>
        <v>0</v>
      </c>
      <c r="AJ50" s="455">
        <f t="shared" si="1"/>
        <v>0</v>
      </c>
      <c r="AK50" s="455">
        <f t="shared" si="1"/>
        <v>0</v>
      </c>
    </row>
    <row r="51" spans="1:37" s="232" customFormat="1" ht="14.25" customHeight="1">
      <c r="A51" s="148" t="s">
        <v>176</v>
      </c>
      <c r="B51" s="132">
        <v>-6</v>
      </c>
      <c r="C51" s="351" t="s">
        <v>53</v>
      </c>
      <c r="D51" s="163" t="s">
        <v>61</v>
      </c>
      <c r="E51" s="86">
        <v>2009</v>
      </c>
      <c r="F51" s="143">
        <v>7500</v>
      </c>
      <c r="G51" s="143">
        <v>37500</v>
      </c>
      <c r="H51" s="86" t="s">
        <v>29</v>
      </c>
      <c r="I51" s="86" t="s">
        <v>45</v>
      </c>
      <c r="J51" s="353">
        <v>40118</v>
      </c>
      <c r="K51" s="353">
        <v>42675</v>
      </c>
      <c r="L51" s="131">
        <v>426000</v>
      </c>
      <c r="M51" s="234" t="s">
        <v>42</v>
      </c>
      <c r="N51" s="58"/>
      <c r="O51" s="274">
        <v>0</v>
      </c>
      <c r="P51" s="83">
        <v>0</v>
      </c>
      <c r="Q51" s="83">
        <v>0</v>
      </c>
      <c r="R51" s="139">
        <v>0</v>
      </c>
      <c r="S51" s="274">
        <f>VLOOKUP($A51,'[1]2014'!$B$4:$R$53,14,0)</f>
        <v>0</v>
      </c>
      <c r="T51" s="83">
        <f>VLOOKUP($A51,'[1]2014'!$B$4:$R$53,15,0)</f>
        <v>12</v>
      </c>
      <c r="U51" s="83">
        <f>VLOOKUP($A51,'[1]2014'!$B$4:$R$53,16,0)</f>
        <v>0</v>
      </c>
      <c r="V51" s="139">
        <f>VLOOKUP($A51,'[1]2014'!$B$4:$R$53,17,0)</f>
        <v>0</v>
      </c>
      <c r="AA51" s="232">
        <v>0</v>
      </c>
      <c r="AB51" s="232">
        <v>0</v>
      </c>
      <c r="AC51" s="232">
        <v>12</v>
      </c>
      <c r="AD51" s="232">
        <v>0</v>
      </c>
      <c r="AE51" s="232">
        <v>0</v>
      </c>
      <c r="AG51" s="454">
        <f t="shared" si="1"/>
        <v>0</v>
      </c>
      <c r="AH51" s="454">
        <f t="shared" si="1"/>
        <v>0</v>
      </c>
      <c r="AI51" s="454">
        <f t="shared" si="1"/>
        <v>0</v>
      </c>
      <c r="AJ51" s="454">
        <f t="shared" si="1"/>
        <v>0</v>
      </c>
      <c r="AK51" s="454">
        <f t="shared" si="1"/>
        <v>0</v>
      </c>
    </row>
    <row r="52" spans="1:37" s="36" customFormat="1" ht="14.25" customHeight="1">
      <c r="A52" s="144" t="s">
        <v>202</v>
      </c>
      <c r="B52" s="198"/>
      <c r="C52" s="341" t="s">
        <v>53</v>
      </c>
      <c r="D52" s="141" t="s">
        <v>61</v>
      </c>
      <c r="E52" s="51">
        <v>2001</v>
      </c>
      <c r="F52" s="52">
        <v>7500</v>
      </c>
      <c r="G52" s="52">
        <v>35000</v>
      </c>
      <c r="H52" s="51" t="s">
        <v>79</v>
      </c>
      <c r="I52" s="51" t="s">
        <v>114</v>
      </c>
      <c r="J52" s="339">
        <v>40827</v>
      </c>
      <c r="K52" s="339">
        <v>41629</v>
      </c>
      <c r="L52" s="58">
        <v>450000</v>
      </c>
      <c r="M52" s="63" t="s">
        <v>247</v>
      </c>
      <c r="N52" s="58"/>
      <c r="O52" s="359">
        <v>0</v>
      </c>
      <c r="P52" s="328">
        <v>0</v>
      </c>
      <c r="Q52" s="328">
        <v>0</v>
      </c>
      <c r="R52" s="360">
        <f>VLOOKUP($A52,'[1]2013'!$B$4:$V$48,21,0)</f>
        <v>0</v>
      </c>
      <c r="S52" s="359">
        <f>VLOOKUP($A52,'[1]2014'!$B$4:$R$53,14,0)</f>
        <v>0</v>
      </c>
      <c r="T52" s="328">
        <f>VLOOKUP($A52,'[1]2014'!$B$4:$R$53,15,0)</f>
        <v>0</v>
      </c>
      <c r="U52" s="328">
        <f>VLOOKUP($A52,'[1]2014'!$B$4:$R$53,16,0)</f>
        <v>0</v>
      </c>
      <c r="V52" s="360">
        <f>VLOOKUP($A52,'[1]2014'!$B$4:$R$53,17,0)</f>
        <v>0</v>
      </c>
      <c r="AA52" s="36">
        <v>0</v>
      </c>
      <c r="AB52" s="36">
        <v>0</v>
      </c>
      <c r="AC52" s="36">
        <v>0</v>
      </c>
      <c r="AD52" s="36">
        <v>0</v>
      </c>
      <c r="AE52" s="36">
        <v>0</v>
      </c>
      <c r="AG52" s="455">
        <f t="shared" si="1"/>
        <v>0</v>
      </c>
      <c r="AH52" s="455">
        <f t="shared" si="1"/>
        <v>0</v>
      </c>
      <c r="AI52" s="455">
        <f t="shared" si="1"/>
        <v>0</v>
      </c>
      <c r="AJ52" s="455">
        <f t="shared" si="1"/>
        <v>0</v>
      </c>
      <c r="AK52" s="455">
        <f t="shared" si="1"/>
        <v>0</v>
      </c>
    </row>
    <row r="53" spans="1:37" s="232" customFormat="1" ht="14.25" customHeight="1">
      <c r="A53" s="461" t="s">
        <v>177</v>
      </c>
      <c r="B53" s="297">
        <v>-7</v>
      </c>
      <c r="C53" s="298" t="s">
        <v>53</v>
      </c>
      <c r="D53" s="310" t="s">
        <v>61</v>
      </c>
      <c r="E53" s="298">
        <v>2001</v>
      </c>
      <c r="F53" s="299">
        <v>7500</v>
      </c>
      <c r="G53" s="299">
        <v>35000</v>
      </c>
      <c r="H53" s="311" t="s">
        <v>34</v>
      </c>
      <c r="I53" s="311" t="s">
        <v>117</v>
      </c>
      <c r="J53" s="311">
        <v>41275</v>
      </c>
      <c r="K53" s="311">
        <v>41913</v>
      </c>
      <c r="L53" s="300">
        <v>600000</v>
      </c>
      <c r="M53" s="301">
        <v>500000</v>
      </c>
      <c r="N53" s="58"/>
      <c r="O53" s="319">
        <v>44.333333333333336</v>
      </c>
      <c r="P53" s="320">
        <v>0</v>
      </c>
      <c r="Q53" s="320">
        <v>14.291666666666666</v>
      </c>
      <c r="R53" s="460">
        <f>VLOOKUP($A53,'[1]2013'!$B$4:$V$48,21,0)</f>
        <v>39</v>
      </c>
      <c r="S53" s="319">
        <v>0</v>
      </c>
      <c r="T53" s="320">
        <v>0</v>
      </c>
      <c r="U53" s="320">
        <v>0</v>
      </c>
      <c r="V53" s="321">
        <v>0</v>
      </c>
      <c r="W53" s="232" t="s">
        <v>277</v>
      </c>
      <c r="AA53" s="232">
        <v>0</v>
      </c>
      <c r="AB53" s="232">
        <v>0</v>
      </c>
      <c r="AC53" s="232">
        <v>0</v>
      </c>
      <c r="AD53" s="232">
        <v>0</v>
      </c>
      <c r="AE53" s="232">
        <v>0</v>
      </c>
      <c r="AG53" s="454">
        <f t="shared" si="1"/>
        <v>39</v>
      </c>
      <c r="AH53" s="454">
        <f t="shared" si="1"/>
        <v>0</v>
      </c>
      <c r="AI53" s="454">
        <f t="shared" si="1"/>
        <v>0</v>
      </c>
      <c r="AJ53" s="454">
        <f t="shared" si="1"/>
        <v>0</v>
      </c>
      <c r="AK53" s="454">
        <f t="shared" si="1"/>
        <v>0</v>
      </c>
    </row>
    <row r="54" spans="1:37" s="36" customFormat="1" ht="6" customHeight="1">
      <c r="A54" s="212"/>
      <c r="B54" s="213"/>
      <c r="C54" s="51"/>
      <c r="D54" s="145"/>
      <c r="E54" s="51"/>
      <c r="F54" s="52"/>
      <c r="G54" s="52"/>
      <c r="H54" s="146"/>
      <c r="I54" s="146"/>
      <c r="J54" s="146"/>
      <c r="K54" s="146"/>
      <c r="L54" s="46"/>
      <c r="M54" s="270"/>
      <c r="N54" s="46"/>
      <c r="O54" s="275"/>
      <c r="P54" s="34"/>
      <c r="Q54" s="34"/>
      <c r="R54" s="142"/>
      <c r="S54" s="275"/>
      <c r="T54" s="34"/>
      <c r="U54" s="34"/>
      <c r="V54" s="142"/>
      <c r="AB54" s="36">
        <v>0</v>
      </c>
      <c r="AC54" s="36">
        <v>0</v>
      </c>
      <c r="AD54" s="36">
        <v>0</v>
      </c>
      <c r="AE54" s="36">
        <v>0</v>
      </c>
      <c r="AG54" s="455">
        <f t="shared" si="1"/>
        <v>0</v>
      </c>
      <c r="AH54" s="455">
        <f t="shared" si="1"/>
        <v>0</v>
      </c>
      <c r="AI54" s="455">
        <f t="shared" si="1"/>
        <v>0</v>
      </c>
      <c r="AJ54" s="455">
        <f t="shared" si="1"/>
        <v>0</v>
      </c>
      <c r="AK54" s="455">
        <f t="shared" si="1"/>
        <v>0</v>
      </c>
    </row>
    <row r="55" spans="1:37" ht="15">
      <c r="A55" s="201" t="s">
        <v>222</v>
      </c>
      <c r="B55" s="207"/>
      <c r="C55" s="203"/>
      <c r="D55" s="204"/>
      <c r="E55" s="205"/>
      <c r="F55" s="204"/>
      <c r="G55" s="204"/>
      <c r="H55" s="204"/>
      <c r="I55" s="204"/>
      <c r="J55" s="257"/>
      <c r="K55" s="257"/>
      <c r="L55" s="264"/>
      <c r="M55" s="265"/>
      <c r="N55" s="255"/>
      <c r="O55" s="272"/>
      <c r="P55" s="239"/>
      <c r="Q55" s="239"/>
      <c r="R55" s="237"/>
      <c r="S55" s="206"/>
      <c r="T55" s="82"/>
      <c r="U55" s="82"/>
      <c r="V55" s="92"/>
      <c r="AG55" s="456">
        <f t="shared" si="1"/>
        <v>0</v>
      </c>
      <c r="AH55" s="456">
        <f t="shared" si="1"/>
        <v>0</v>
      </c>
      <c r="AI55" s="456">
        <f t="shared" si="1"/>
        <v>0</v>
      </c>
      <c r="AJ55" s="456">
        <f t="shared" si="1"/>
        <v>0</v>
      </c>
      <c r="AK55" s="456">
        <f t="shared" si="1"/>
        <v>0</v>
      </c>
    </row>
    <row r="56" spans="1:37" s="36" customFormat="1" ht="6" customHeight="1">
      <c r="A56" s="161"/>
      <c r="B56" s="198"/>
      <c r="C56" s="156"/>
      <c r="D56" s="156"/>
      <c r="E56" s="157"/>
      <c r="F56" s="158"/>
      <c r="G56" s="158"/>
      <c r="H56" s="159"/>
      <c r="I56" s="146"/>
      <c r="J56" s="146"/>
      <c r="K56" s="146"/>
      <c r="L56" s="160"/>
      <c r="M56" s="247"/>
      <c r="N56" s="160"/>
      <c r="O56" s="38"/>
      <c r="P56" s="39"/>
      <c r="Q56" s="39">
        <v>0</v>
      </c>
      <c r="R56" s="181"/>
      <c r="S56" s="273"/>
      <c r="T56" s="54"/>
      <c r="U56" s="54"/>
      <c r="V56" s="162"/>
      <c r="AA56" s="36">
        <v>0</v>
      </c>
      <c r="AB56" s="36">
        <v>0</v>
      </c>
      <c r="AC56" s="36">
        <v>0</v>
      </c>
      <c r="AD56" s="36">
        <v>0</v>
      </c>
      <c r="AE56" s="36">
        <v>0</v>
      </c>
      <c r="AG56" s="455">
        <f t="shared" si="1"/>
        <v>0</v>
      </c>
      <c r="AH56" s="455">
        <f t="shared" si="1"/>
        <v>0</v>
      </c>
      <c r="AI56" s="455">
        <f t="shared" si="1"/>
        <v>0</v>
      </c>
      <c r="AJ56" s="455">
        <f t="shared" si="1"/>
        <v>0</v>
      </c>
      <c r="AK56" s="455">
        <f t="shared" si="1"/>
        <v>0</v>
      </c>
    </row>
    <row r="57" spans="1:37" s="36" customFormat="1" ht="15.25" customHeight="1">
      <c r="A57" s="144" t="s">
        <v>178</v>
      </c>
      <c r="B57" s="198" t="s">
        <v>240</v>
      </c>
      <c r="C57" s="51" t="s">
        <v>52</v>
      </c>
      <c r="D57" s="145" t="s">
        <v>61</v>
      </c>
      <c r="E57" s="51" t="s">
        <v>0</v>
      </c>
      <c r="F57" s="52">
        <v>7200</v>
      </c>
      <c r="G57" s="52">
        <v>25000</v>
      </c>
      <c r="H57" s="51" t="s">
        <v>31</v>
      </c>
      <c r="I57" s="51" t="s">
        <v>33</v>
      </c>
      <c r="J57" s="146">
        <v>40664</v>
      </c>
      <c r="K57" s="146">
        <v>42401</v>
      </c>
      <c r="L57" s="58">
        <v>376000</v>
      </c>
      <c r="M57" s="63">
        <v>190000</v>
      </c>
      <c r="N57" s="58"/>
      <c r="O57" s="275">
        <v>0</v>
      </c>
      <c r="P57" s="34">
        <v>0</v>
      </c>
      <c r="Q57" s="34">
        <v>0</v>
      </c>
      <c r="R57" s="142">
        <v>0</v>
      </c>
      <c r="S57" s="275">
        <f>VLOOKUP($A57,'[1]2014'!$B$4:$R$53,14,0)</f>
        <v>0</v>
      </c>
      <c r="T57" s="34">
        <f>VLOOKUP($A57,'[1]2014'!$B$4:$R$53,15,0)</f>
        <v>0</v>
      </c>
      <c r="U57" s="34">
        <f>VLOOKUP($A57,'[1]2014'!$B$4:$R$53,16,0)</f>
        <v>14</v>
      </c>
      <c r="V57" s="142">
        <f>VLOOKUP($A57,'[1]2014'!$B$4:$R$53,17,0)</f>
        <v>0</v>
      </c>
      <c r="AA57" s="36">
        <v>0</v>
      </c>
      <c r="AB57" s="36">
        <v>0</v>
      </c>
      <c r="AC57" s="36">
        <v>0</v>
      </c>
      <c r="AD57" s="36">
        <v>14</v>
      </c>
      <c r="AE57" s="36">
        <v>0</v>
      </c>
      <c r="AG57" s="455">
        <f t="shared" si="1"/>
        <v>0</v>
      </c>
      <c r="AH57" s="455">
        <f t="shared" si="1"/>
        <v>0</v>
      </c>
      <c r="AI57" s="455">
        <f t="shared" si="1"/>
        <v>0</v>
      </c>
      <c r="AJ57" s="455">
        <f t="shared" si="1"/>
        <v>0</v>
      </c>
      <c r="AK57" s="455">
        <f t="shared" si="1"/>
        <v>0</v>
      </c>
    </row>
    <row r="58" spans="1:37" s="232" customFormat="1" ht="14.25" customHeight="1">
      <c r="A58" s="148" t="s">
        <v>14</v>
      </c>
      <c r="B58" s="132"/>
      <c r="C58" s="86" t="s">
        <v>52</v>
      </c>
      <c r="D58" s="163" t="s">
        <v>61</v>
      </c>
      <c r="E58" s="86" t="s">
        <v>23</v>
      </c>
      <c r="F58" s="143">
        <v>7000</v>
      </c>
      <c r="G58" s="143">
        <v>25000</v>
      </c>
      <c r="H58" s="174" t="s">
        <v>37</v>
      </c>
      <c r="I58" s="150" t="s">
        <v>221</v>
      </c>
      <c r="J58" s="150">
        <v>41426</v>
      </c>
      <c r="K58" s="150">
        <v>41640</v>
      </c>
      <c r="L58" s="312">
        <v>500000</v>
      </c>
      <c r="M58" s="313">
        <v>490000</v>
      </c>
      <c r="N58" s="312"/>
      <c r="O58" s="274">
        <v>32.854166666666664</v>
      </c>
      <c r="P58" s="83">
        <v>12</v>
      </c>
      <c r="Q58" s="83">
        <v>0</v>
      </c>
      <c r="R58" s="139">
        <f>VLOOKUP($A58,'[1]2013'!$B$4:$V$48,21,0)</f>
        <v>0</v>
      </c>
      <c r="S58" s="274">
        <f>VLOOKUP($A58,'[1]2014'!$B$4:$R$53,14,0)</f>
        <v>0</v>
      </c>
      <c r="T58" s="83">
        <f>VLOOKUP($A58,'[1]2014'!$B$4:$R$53,15,0)</f>
        <v>0</v>
      </c>
      <c r="U58" s="83">
        <f>VLOOKUP($A58,'[1]2014'!$B$4:$R$53,16,0)</f>
        <v>0</v>
      </c>
      <c r="V58" s="139">
        <f>VLOOKUP($A58,'[1]2014'!$B$4:$R$53,17,0)</f>
        <v>0</v>
      </c>
      <c r="AA58" s="232">
        <v>0</v>
      </c>
      <c r="AB58" s="232">
        <v>0</v>
      </c>
      <c r="AC58" s="232">
        <v>0</v>
      </c>
      <c r="AD58" s="232">
        <v>0</v>
      </c>
      <c r="AE58" s="232">
        <v>0</v>
      </c>
      <c r="AG58" s="454">
        <f t="shared" si="1"/>
        <v>0</v>
      </c>
      <c r="AH58" s="454">
        <f t="shared" si="1"/>
        <v>0</v>
      </c>
      <c r="AI58" s="454">
        <f t="shared" si="1"/>
        <v>0</v>
      </c>
      <c r="AJ58" s="454">
        <f t="shared" si="1"/>
        <v>0</v>
      </c>
      <c r="AK58" s="454">
        <f t="shared" si="1"/>
        <v>0</v>
      </c>
    </row>
    <row r="59" spans="1:37" s="36" customFormat="1">
      <c r="A59" s="340" t="s">
        <v>180</v>
      </c>
      <c r="B59" s="198">
        <v>-8</v>
      </c>
      <c r="C59" s="51" t="s">
        <v>53</v>
      </c>
      <c r="D59" s="141"/>
      <c r="E59" s="51" t="s">
        <v>226</v>
      </c>
      <c r="F59" s="52">
        <v>7000</v>
      </c>
      <c r="G59" s="52">
        <v>30000</v>
      </c>
      <c r="H59" s="51" t="s">
        <v>214</v>
      </c>
      <c r="I59" s="51"/>
      <c r="J59" s="166"/>
      <c r="K59" s="166"/>
      <c r="L59" s="58"/>
      <c r="M59" s="63"/>
      <c r="N59" s="58"/>
      <c r="O59" s="275">
        <v>61.958333333333343</v>
      </c>
      <c r="P59" s="34">
        <v>0</v>
      </c>
      <c r="Q59" s="34">
        <v>0</v>
      </c>
      <c r="R59" s="142">
        <f>VLOOKUP($A59,'[1]2013'!$B$4:$V$48,21,0)</f>
        <v>45</v>
      </c>
      <c r="S59" s="275">
        <f>VLOOKUP($A59,'[1]2014'!$B$4:$R$53,14,0)</f>
        <v>0</v>
      </c>
      <c r="T59" s="34">
        <f>VLOOKUP($A59,'[1]2014'!$B$4:$R$53,15,0)</f>
        <v>0</v>
      </c>
      <c r="U59" s="34">
        <f>VLOOKUP($A59,'[1]2014'!$B$4:$R$53,16,0)</f>
        <v>0</v>
      </c>
      <c r="V59" s="223">
        <f>VLOOKUP($A59,'[1]2014'!$B$4:$R$53,17,0)</f>
        <v>30</v>
      </c>
      <c r="W59" s="36" t="s">
        <v>273</v>
      </c>
      <c r="AA59" s="36">
        <v>45</v>
      </c>
      <c r="AB59" s="36">
        <v>0</v>
      </c>
      <c r="AC59" s="36">
        <v>0</v>
      </c>
      <c r="AD59" s="36">
        <v>30</v>
      </c>
      <c r="AE59" s="36">
        <v>0</v>
      </c>
      <c r="AG59" s="455">
        <f t="shared" si="1"/>
        <v>0</v>
      </c>
      <c r="AH59" s="455">
        <f t="shared" si="1"/>
        <v>0</v>
      </c>
      <c r="AI59" s="455">
        <f t="shared" si="1"/>
        <v>0</v>
      </c>
      <c r="AJ59" s="455">
        <f t="shared" si="1"/>
        <v>-30</v>
      </c>
      <c r="AK59" s="455">
        <f t="shared" si="1"/>
        <v>30</v>
      </c>
    </row>
    <row r="60" spans="1:37" s="232" customFormat="1" ht="14.25" customHeight="1">
      <c r="A60" s="364" t="s">
        <v>181</v>
      </c>
      <c r="B60" s="133" t="s">
        <v>145</v>
      </c>
      <c r="C60" s="86" t="s">
        <v>53</v>
      </c>
      <c r="D60" s="138" t="s">
        <v>61</v>
      </c>
      <c r="E60" s="86" t="s">
        <v>10</v>
      </c>
      <c r="F60" s="143">
        <v>6500</v>
      </c>
      <c r="G60" s="143">
        <v>25000</v>
      </c>
      <c r="H60" s="86" t="s">
        <v>31</v>
      </c>
      <c r="I60" s="86" t="s">
        <v>60</v>
      </c>
      <c r="J60" s="147">
        <v>39904</v>
      </c>
      <c r="K60" s="147">
        <v>41730</v>
      </c>
      <c r="L60" s="131">
        <v>361000</v>
      </c>
      <c r="M60" s="234" t="s">
        <v>42</v>
      </c>
      <c r="N60" s="131"/>
      <c r="O60" s="274">
        <v>0</v>
      </c>
      <c r="P60" s="83">
        <v>0</v>
      </c>
      <c r="Q60" s="83">
        <v>0</v>
      </c>
      <c r="R60" s="139">
        <v>0</v>
      </c>
      <c r="S60" s="274">
        <f>VLOOKUP($A60,'[1]2014'!$B$4:$R$53,14,0)</f>
        <v>0</v>
      </c>
      <c r="T60" s="83">
        <f>VLOOKUP($A60,'[1]2014'!$B$4:$R$53,15,0)</f>
        <v>21</v>
      </c>
      <c r="U60" s="83">
        <f>VLOOKUP($A60,'[1]2014'!$B$4:$R$53,16,0)</f>
        <v>0</v>
      </c>
      <c r="V60" s="139">
        <f>VLOOKUP($A60,'[1]2014'!$B$4:$R$53,17,0)</f>
        <v>0</v>
      </c>
      <c r="AA60" s="232">
        <v>0</v>
      </c>
      <c r="AB60" s="232">
        <v>0</v>
      </c>
      <c r="AC60" s="232">
        <v>21</v>
      </c>
      <c r="AD60" s="232">
        <v>0</v>
      </c>
      <c r="AE60" s="232">
        <v>0</v>
      </c>
      <c r="AG60" s="454">
        <f t="shared" si="1"/>
        <v>0</v>
      </c>
      <c r="AH60" s="454">
        <f t="shared" si="1"/>
        <v>0</v>
      </c>
      <c r="AI60" s="454">
        <f t="shared" si="1"/>
        <v>0</v>
      </c>
      <c r="AJ60" s="454">
        <f t="shared" si="1"/>
        <v>0</v>
      </c>
      <c r="AK60" s="454">
        <f t="shared" si="1"/>
        <v>0</v>
      </c>
    </row>
    <row r="61" spans="1:37" s="232" customFormat="1" ht="14.25" customHeight="1">
      <c r="A61" s="151"/>
      <c r="B61" s="133"/>
      <c r="C61" s="86"/>
      <c r="D61" s="138"/>
      <c r="E61" s="86"/>
      <c r="F61" s="143"/>
      <c r="G61" s="143"/>
      <c r="H61" s="86" t="s">
        <v>31</v>
      </c>
      <c r="I61" s="86" t="s">
        <v>60</v>
      </c>
      <c r="J61" s="357">
        <v>41781</v>
      </c>
      <c r="K61" s="357">
        <v>42614</v>
      </c>
      <c r="L61" s="358">
        <v>283000</v>
      </c>
      <c r="M61" s="234">
        <v>361000</v>
      </c>
      <c r="N61" s="131"/>
      <c r="O61" s="274"/>
      <c r="P61" s="83"/>
      <c r="Q61" s="83"/>
      <c r="R61" s="139"/>
      <c r="S61" s="274"/>
      <c r="T61" s="83"/>
      <c r="U61" s="83"/>
      <c r="V61" s="139"/>
      <c r="AG61" s="454">
        <f t="shared" si="1"/>
        <v>0</v>
      </c>
      <c r="AH61" s="454">
        <f t="shared" si="1"/>
        <v>0</v>
      </c>
      <c r="AI61" s="454">
        <f t="shared" si="1"/>
        <v>0</v>
      </c>
      <c r="AJ61" s="454">
        <f t="shared" si="1"/>
        <v>0</v>
      </c>
      <c r="AK61" s="454">
        <f t="shared" si="1"/>
        <v>0</v>
      </c>
    </row>
    <row r="62" spans="1:37" s="36" customFormat="1">
      <c r="A62" s="421" t="s">
        <v>201</v>
      </c>
      <c r="B62" s="250" t="s">
        <v>149</v>
      </c>
      <c r="C62" s="51" t="s">
        <v>53</v>
      </c>
      <c r="D62" s="141" t="s">
        <v>61</v>
      </c>
      <c r="E62" s="51" t="s">
        <v>68</v>
      </c>
      <c r="F62" s="52">
        <v>6500</v>
      </c>
      <c r="G62" s="52">
        <v>25000</v>
      </c>
      <c r="H62" s="51" t="s">
        <v>34</v>
      </c>
      <c r="I62" s="51" t="s">
        <v>35</v>
      </c>
      <c r="J62" s="166">
        <v>41153</v>
      </c>
      <c r="K62" s="166">
        <v>42370</v>
      </c>
      <c r="L62" s="58">
        <v>461000</v>
      </c>
      <c r="M62" s="63">
        <v>357000</v>
      </c>
      <c r="N62" s="58"/>
      <c r="O62" s="275">
        <v>0</v>
      </c>
      <c r="P62" s="34">
        <v>0</v>
      </c>
      <c r="Q62" s="34">
        <v>0</v>
      </c>
      <c r="R62" s="142">
        <f>VLOOKUP($A62,'[1]2013'!$B$4:$V$48,21,0)</f>
        <v>74</v>
      </c>
      <c r="S62" s="275">
        <f>VLOOKUP($A62,'[1]2014'!$B$4:$R$53,14,0)</f>
        <v>42</v>
      </c>
      <c r="T62" s="34">
        <f>VLOOKUP($A62,'[1]2014'!$B$4:$R$53,15,0)</f>
        <v>0</v>
      </c>
      <c r="U62" s="34">
        <f>VLOOKUP($A62,'[1]2014'!$B$4:$R$53,16,0)</f>
        <v>0</v>
      </c>
      <c r="V62" s="142">
        <f>VLOOKUP($A62,'[1]2014'!$B$4:$R$53,17,0)</f>
        <v>0</v>
      </c>
      <c r="AA62" s="36">
        <v>73</v>
      </c>
      <c r="AB62" s="36">
        <v>42</v>
      </c>
      <c r="AC62" s="36">
        <v>0</v>
      </c>
      <c r="AD62" s="36">
        <v>0</v>
      </c>
      <c r="AE62" s="36">
        <v>0</v>
      </c>
      <c r="AG62" s="455">
        <f t="shared" si="1"/>
        <v>1</v>
      </c>
      <c r="AH62" s="455">
        <f t="shared" si="1"/>
        <v>0</v>
      </c>
      <c r="AI62" s="455">
        <f t="shared" si="1"/>
        <v>0</v>
      </c>
      <c r="AJ62" s="455">
        <f t="shared" si="1"/>
        <v>0</v>
      </c>
      <c r="AK62" s="455">
        <f t="shared" si="1"/>
        <v>0</v>
      </c>
    </row>
    <row r="63" spans="1:37" s="232" customFormat="1" ht="14.25" customHeight="1">
      <c r="A63" s="148" t="s">
        <v>182</v>
      </c>
      <c r="B63" s="132" t="s">
        <v>241</v>
      </c>
      <c r="C63" s="86" t="s">
        <v>53</v>
      </c>
      <c r="D63" s="138" t="s">
        <v>61</v>
      </c>
      <c r="E63" s="86" t="s">
        <v>23</v>
      </c>
      <c r="F63" s="143">
        <v>6500</v>
      </c>
      <c r="G63" s="143">
        <v>25000</v>
      </c>
      <c r="H63" s="86" t="s">
        <v>31</v>
      </c>
      <c r="I63" s="86" t="s">
        <v>33</v>
      </c>
      <c r="J63" s="147">
        <v>40118</v>
      </c>
      <c r="K63" s="147">
        <v>41944</v>
      </c>
      <c r="L63" s="131">
        <v>395000</v>
      </c>
      <c r="M63" s="234">
        <v>188000</v>
      </c>
      <c r="N63" s="131"/>
      <c r="O63" s="274">
        <v>90.041666666666671</v>
      </c>
      <c r="P63" s="83">
        <v>68</v>
      </c>
      <c r="Q63" s="83">
        <v>0</v>
      </c>
      <c r="R63" s="139">
        <f>VLOOKUP($A63,'[1]2013'!$B$4:$V$48,21,0)</f>
        <v>0</v>
      </c>
      <c r="S63" s="274">
        <v>0</v>
      </c>
      <c r="T63" s="83">
        <v>0</v>
      </c>
      <c r="U63" s="83">
        <v>0</v>
      </c>
      <c r="V63" s="139">
        <v>0</v>
      </c>
      <c r="AA63" s="232">
        <v>0</v>
      </c>
      <c r="AB63" s="232">
        <v>0</v>
      </c>
      <c r="AC63" s="232">
        <v>0</v>
      </c>
      <c r="AD63" s="232">
        <v>0</v>
      </c>
      <c r="AE63" s="232">
        <v>0</v>
      </c>
      <c r="AG63" s="454">
        <f t="shared" si="1"/>
        <v>0</v>
      </c>
      <c r="AH63" s="454">
        <f t="shared" si="1"/>
        <v>0</v>
      </c>
      <c r="AI63" s="454">
        <f t="shared" si="1"/>
        <v>0</v>
      </c>
      <c r="AJ63" s="454">
        <f t="shared" si="1"/>
        <v>0</v>
      </c>
      <c r="AK63" s="454">
        <f t="shared" si="1"/>
        <v>0</v>
      </c>
    </row>
    <row r="64" spans="1:37" ht="14.25" customHeight="1">
      <c r="A64" s="431" t="s">
        <v>92</v>
      </c>
      <c r="B64" s="250"/>
      <c r="C64" s="51" t="s">
        <v>53</v>
      </c>
      <c r="D64" s="51"/>
      <c r="E64" s="51" t="s">
        <v>71</v>
      </c>
      <c r="F64" s="52">
        <v>5750</v>
      </c>
      <c r="G64" s="52">
        <v>25000</v>
      </c>
      <c r="H64" s="51" t="s">
        <v>39</v>
      </c>
      <c r="I64" s="51" t="s">
        <v>59</v>
      </c>
      <c r="J64" s="166">
        <v>41487</v>
      </c>
      <c r="K64" s="166">
        <v>41852</v>
      </c>
      <c r="L64" s="213">
        <v>328000</v>
      </c>
      <c r="M64" s="194">
        <v>324000</v>
      </c>
      <c r="N64" s="213"/>
      <c r="O64" s="275">
        <v>0</v>
      </c>
      <c r="P64" s="34">
        <v>0</v>
      </c>
      <c r="Q64" s="34">
        <v>0</v>
      </c>
      <c r="R64" s="142">
        <v>0</v>
      </c>
      <c r="S64" s="275">
        <f>VLOOKUP($A64,'[1]2014'!$B$4:$R$53,14,0)</f>
        <v>0</v>
      </c>
      <c r="T64" s="34">
        <f>VLOOKUP($A64,'[1]2014'!$B$4:$R$53,15,0)</f>
        <v>0</v>
      </c>
      <c r="U64" s="37">
        <f>VLOOKUP($A64,'[1]2014'!$B$4:$R$53,16,0)</f>
        <v>4</v>
      </c>
      <c r="V64" s="223">
        <f>VLOOKUP($A64,'[1]2014'!$B$4:$R$53,17,0)</f>
        <v>38</v>
      </c>
      <c r="W64" s="7" t="s">
        <v>274</v>
      </c>
      <c r="AA64" s="7">
        <v>0</v>
      </c>
      <c r="AB64" s="7">
        <v>0</v>
      </c>
      <c r="AC64" s="7">
        <v>0</v>
      </c>
      <c r="AD64" s="7">
        <v>33</v>
      </c>
      <c r="AE64" s="7">
        <v>9</v>
      </c>
      <c r="AG64" s="456">
        <f t="shared" si="1"/>
        <v>0</v>
      </c>
      <c r="AH64" s="456">
        <f t="shared" si="1"/>
        <v>0</v>
      </c>
      <c r="AI64" s="456">
        <f t="shared" si="1"/>
        <v>0</v>
      </c>
      <c r="AJ64" s="456">
        <f t="shared" si="1"/>
        <v>-29</v>
      </c>
      <c r="AK64" s="456">
        <f t="shared" si="1"/>
        <v>29</v>
      </c>
    </row>
    <row r="65" spans="1:37" ht="14.25" customHeight="1">
      <c r="A65" s="154"/>
      <c r="B65" s="250"/>
      <c r="C65" s="51"/>
      <c r="D65" s="51"/>
      <c r="E65" s="51"/>
      <c r="F65" s="52"/>
      <c r="G65" s="52"/>
      <c r="H65" s="51" t="s">
        <v>39</v>
      </c>
      <c r="I65" s="51" t="s">
        <v>59</v>
      </c>
      <c r="J65" s="166">
        <v>41852</v>
      </c>
      <c r="K65" s="166">
        <v>41852</v>
      </c>
      <c r="L65" s="213">
        <v>332000</v>
      </c>
      <c r="M65" s="194">
        <v>328000</v>
      </c>
      <c r="N65" s="213"/>
      <c r="O65" s="275"/>
      <c r="P65" s="34"/>
      <c r="Q65" s="34"/>
      <c r="R65" s="142"/>
      <c r="S65" s="275"/>
      <c r="T65" s="34"/>
      <c r="U65" s="34"/>
      <c r="V65" s="142"/>
      <c r="AG65" s="456">
        <f t="shared" si="1"/>
        <v>0</v>
      </c>
      <c r="AH65" s="456">
        <f t="shared" si="1"/>
        <v>0</v>
      </c>
      <c r="AI65" s="456">
        <f t="shared" si="1"/>
        <v>0</v>
      </c>
      <c r="AJ65" s="456">
        <f t="shared" si="1"/>
        <v>0</v>
      </c>
      <c r="AK65" s="456">
        <f t="shared" si="1"/>
        <v>0</v>
      </c>
    </row>
    <row r="66" spans="1:37" ht="14.25" customHeight="1">
      <c r="A66" s="154"/>
      <c r="B66" s="250"/>
      <c r="C66" s="51"/>
      <c r="D66" s="51"/>
      <c r="E66" s="51"/>
      <c r="F66" s="52"/>
      <c r="G66" s="52"/>
      <c r="N66" s="213"/>
      <c r="O66" s="275"/>
      <c r="P66" s="34"/>
      <c r="Q66" s="34"/>
      <c r="R66" s="142"/>
      <c r="S66" s="275"/>
      <c r="T66" s="34"/>
      <c r="U66" s="34"/>
      <c r="V66" s="142"/>
      <c r="AG66" s="456">
        <f t="shared" si="1"/>
        <v>0</v>
      </c>
      <c r="AH66" s="456">
        <f t="shared" si="1"/>
        <v>0</v>
      </c>
      <c r="AI66" s="456">
        <f t="shared" si="1"/>
        <v>0</v>
      </c>
      <c r="AJ66" s="456">
        <f t="shared" si="1"/>
        <v>0</v>
      </c>
      <c r="AK66" s="456">
        <f t="shared" si="1"/>
        <v>0</v>
      </c>
    </row>
    <row r="67" spans="1:37" s="232" customFormat="1" ht="14.25" customHeight="1">
      <c r="A67" s="363" t="s">
        <v>47</v>
      </c>
      <c r="B67" s="132">
        <v>-7</v>
      </c>
      <c r="C67" s="86" t="s">
        <v>53</v>
      </c>
      <c r="D67" s="86"/>
      <c r="E67" s="86" t="s">
        <v>48</v>
      </c>
      <c r="F67" s="143">
        <v>5400</v>
      </c>
      <c r="G67" s="143">
        <v>30000</v>
      </c>
      <c r="H67" s="86" t="s">
        <v>38</v>
      </c>
      <c r="I67" s="86" t="s">
        <v>245</v>
      </c>
      <c r="J67" s="346">
        <v>41603</v>
      </c>
      <c r="K67" s="346">
        <v>41692</v>
      </c>
      <c r="L67" s="228">
        <v>525000</v>
      </c>
      <c r="M67" s="234">
        <v>380000</v>
      </c>
      <c r="N67" s="131"/>
      <c r="O67" s="274">
        <v>0</v>
      </c>
      <c r="P67" s="83">
        <v>0</v>
      </c>
      <c r="Q67" s="83">
        <v>0</v>
      </c>
      <c r="R67" s="139">
        <f>VLOOKUP($A67,'[1]2013'!$B$4:$V$48,21,0)</f>
        <v>5</v>
      </c>
      <c r="S67" s="274">
        <f>VLOOKUP($A67,'[1]2014'!$B$4:$R$53,14,0)</f>
        <v>0</v>
      </c>
      <c r="T67" s="83">
        <f>VLOOKUP($A67,'[1]2014'!$B$4:$R$53,15,0)</f>
        <v>4</v>
      </c>
      <c r="U67" s="83">
        <f>VLOOKUP($A67,'[1]2014'!$B$4:$R$53,16,0)</f>
        <v>6</v>
      </c>
      <c r="V67" s="139">
        <f>VLOOKUP($A67,'[1]2014'!$B$4:$R$53,17,0)</f>
        <v>0</v>
      </c>
      <c r="W67" s="232" t="s">
        <v>279</v>
      </c>
      <c r="AA67" s="232">
        <v>0</v>
      </c>
      <c r="AB67" s="232">
        <v>0</v>
      </c>
      <c r="AC67" s="232">
        <v>10</v>
      </c>
      <c r="AD67" s="232">
        <v>0</v>
      </c>
      <c r="AE67" s="232">
        <v>0</v>
      </c>
      <c r="AG67" s="454">
        <f t="shared" si="1"/>
        <v>5</v>
      </c>
      <c r="AH67" s="454">
        <f t="shared" si="1"/>
        <v>0</v>
      </c>
      <c r="AI67" s="454">
        <f t="shared" si="1"/>
        <v>-6</v>
      </c>
      <c r="AJ67" s="454">
        <f t="shared" si="1"/>
        <v>6</v>
      </c>
      <c r="AK67" s="454">
        <f t="shared" si="1"/>
        <v>0</v>
      </c>
    </row>
    <row r="68" spans="1:37" s="232" customFormat="1" ht="14.25" customHeight="1">
      <c r="A68" s="148"/>
      <c r="B68" s="132"/>
      <c r="C68" s="86"/>
      <c r="D68" s="86"/>
      <c r="E68" s="86"/>
      <c r="F68" s="143"/>
      <c r="G68" s="143"/>
      <c r="H68" s="86" t="s">
        <v>38</v>
      </c>
      <c r="I68" s="86" t="s">
        <v>126</v>
      </c>
      <c r="J68" s="346">
        <v>41723</v>
      </c>
      <c r="K68" s="346">
        <v>41812</v>
      </c>
      <c r="L68" s="228">
        <v>380000</v>
      </c>
      <c r="M68" s="234">
        <v>525000</v>
      </c>
      <c r="N68" s="131"/>
      <c r="O68" s="274" t="s">
        <v>51</v>
      </c>
      <c r="P68" s="83" t="s">
        <v>51</v>
      </c>
      <c r="Q68" s="83">
        <v>0</v>
      </c>
      <c r="R68" s="139"/>
      <c r="S68" s="274"/>
      <c r="T68" s="83"/>
      <c r="U68" s="83"/>
      <c r="V68" s="139"/>
      <c r="AG68" s="454">
        <f t="shared" si="1"/>
        <v>0</v>
      </c>
      <c r="AH68" s="454">
        <f t="shared" si="1"/>
        <v>0</v>
      </c>
      <c r="AI68" s="454">
        <f t="shared" si="1"/>
        <v>0</v>
      </c>
      <c r="AJ68" s="454">
        <f t="shared" si="1"/>
        <v>0</v>
      </c>
      <c r="AK68" s="454">
        <f t="shared" si="1"/>
        <v>0</v>
      </c>
    </row>
    <row r="69" spans="1:37" s="36" customFormat="1" ht="14.25" customHeight="1">
      <c r="A69" s="421" t="s">
        <v>183</v>
      </c>
      <c r="B69" s="198">
        <v>-7</v>
      </c>
      <c r="C69" s="361" t="s">
        <v>53</v>
      </c>
      <c r="D69" s="361"/>
      <c r="E69" s="361" t="s">
        <v>49</v>
      </c>
      <c r="F69" s="362">
        <v>5000</v>
      </c>
      <c r="G69" s="362">
        <v>25000</v>
      </c>
      <c r="H69" s="362" t="s">
        <v>40</v>
      </c>
      <c r="I69" s="361" t="s">
        <v>41</v>
      </c>
      <c r="J69" s="166">
        <v>40787</v>
      </c>
      <c r="K69" s="166">
        <v>41670</v>
      </c>
      <c r="L69" s="213">
        <v>181000</v>
      </c>
      <c r="M69" s="63" t="s">
        <v>42</v>
      </c>
      <c r="N69" s="58"/>
      <c r="O69" s="275">
        <v>0</v>
      </c>
      <c r="P69" s="34">
        <v>0</v>
      </c>
      <c r="Q69" s="34">
        <v>0</v>
      </c>
      <c r="R69" s="142">
        <f>VLOOKUP($A69,'[1]2013'!$B$4:$V$48,21,0)</f>
        <v>0</v>
      </c>
      <c r="S69" s="275">
        <v>0</v>
      </c>
      <c r="T69" s="34">
        <v>0</v>
      </c>
      <c r="U69" s="34">
        <v>0</v>
      </c>
      <c r="V69" s="142">
        <v>0</v>
      </c>
      <c r="AA69" s="36">
        <v>0</v>
      </c>
      <c r="AB69" s="36">
        <v>0</v>
      </c>
      <c r="AC69" s="36">
        <v>0</v>
      </c>
      <c r="AD69" s="36">
        <v>0</v>
      </c>
      <c r="AE69" s="36">
        <v>0</v>
      </c>
      <c r="AG69" s="455">
        <f t="shared" si="1"/>
        <v>0</v>
      </c>
      <c r="AH69" s="455">
        <f t="shared" si="1"/>
        <v>0</v>
      </c>
      <c r="AI69" s="455">
        <f t="shared" si="1"/>
        <v>0</v>
      </c>
      <c r="AJ69" s="455">
        <f t="shared" si="1"/>
        <v>0</v>
      </c>
      <c r="AK69" s="455">
        <f t="shared" si="1"/>
        <v>0</v>
      </c>
    </row>
    <row r="70" spans="1:37" s="232" customFormat="1" ht="14.25" customHeight="1">
      <c r="A70" s="369" t="s">
        <v>184</v>
      </c>
      <c r="B70" s="132">
        <v>-21</v>
      </c>
      <c r="C70" s="86" t="s">
        <v>53</v>
      </c>
      <c r="D70" s="163" t="s">
        <v>61</v>
      </c>
      <c r="E70" s="86" t="s">
        <v>1</v>
      </c>
      <c r="F70" s="143">
        <v>4500</v>
      </c>
      <c r="G70" s="143">
        <v>25000</v>
      </c>
      <c r="H70" s="86" t="s">
        <v>31</v>
      </c>
      <c r="I70" s="86"/>
      <c r="J70" s="150"/>
      <c r="K70" s="150" t="s">
        <v>76</v>
      </c>
      <c r="L70" s="131"/>
      <c r="M70" s="234"/>
      <c r="N70" s="131"/>
      <c r="O70" s="274">
        <v>0</v>
      </c>
      <c r="P70" s="83">
        <v>40</v>
      </c>
      <c r="Q70" s="83">
        <v>0</v>
      </c>
      <c r="R70" s="139">
        <f>VLOOKUP($A70,'[1]2013'!$B$4:$V$48,21,0)</f>
        <v>0</v>
      </c>
      <c r="S70" s="274">
        <f>VLOOKUP($A70,'[1]2014'!$B$4:$R$53,14,0)</f>
        <v>0</v>
      </c>
      <c r="T70" s="83">
        <f>VLOOKUP($A70,'[1]2014'!$B$4:$R$53,15,0)</f>
        <v>0</v>
      </c>
      <c r="U70" s="83">
        <f>VLOOKUP($A70,'[1]2014'!$B$4:$R$53,16,0)</f>
        <v>0</v>
      </c>
      <c r="V70" s="139">
        <f>VLOOKUP($A70,'[1]2014'!$B$4:$R$53,17,0)</f>
        <v>0</v>
      </c>
      <c r="AA70" s="232">
        <v>0</v>
      </c>
      <c r="AB70" s="232">
        <v>0</v>
      </c>
      <c r="AC70" s="232">
        <v>0</v>
      </c>
      <c r="AD70" s="232">
        <v>0</v>
      </c>
      <c r="AE70" s="232">
        <v>0</v>
      </c>
      <c r="AG70" s="454">
        <f t="shared" si="1"/>
        <v>0</v>
      </c>
      <c r="AH70" s="454">
        <f t="shared" si="1"/>
        <v>0</v>
      </c>
      <c r="AI70" s="454">
        <f t="shared" si="1"/>
        <v>0</v>
      </c>
      <c r="AJ70" s="454">
        <f t="shared" si="1"/>
        <v>0</v>
      </c>
      <c r="AK70" s="454">
        <f t="shared" si="1"/>
        <v>0</v>
      </c>
    </row>
    <row r="71" spans="1:37" s="36" customFormat="1" ht="14.25" customHeight="1">
      <c r="A71" s="154" t="s">
        <v>84</v>
      </c>
      <c r="B71" s="250"/>
      <c r="C71" s="51" t="s">
        <v>53</v>
      </c>
      <c r="D71" s="51"/>
      <c r="E71" s="51">
        <v>1988</v>
      </c>
      <c r="F71" s="52">
        <v>4500</v>
      </c>
      <c r="G71" s="52">
        <v>25000</v>
      </c>
      <c r="H71" s="51" t="s">
        <v>39</v>
      </c>
      <c r="I71" s="51"/>
      <c r="J71" s="146"/>
      <c r="K71" s="146" t="s">
        <v>76</v>
      </c>
      <c r="L71" s="58"/>
      <c r="M71" s="63"/>
      <c r="N71" s="58"/>
      <c r="O71" s="275">
        <v>0</v>
      </c>
      <c r="P71" s="34">
        <v>0</v>
      </c>
      <c r="Q71" s="34">
        <v>0</v>
      </c>
      <c r="R71" s="142">
        <f>VLOOKUP($A71,'[1]2013'!$B$4:$V$48,21,0)</f>
        <v>0</v>
      </c>
      <c r="S71" s="275">
        <f>VLOOKUP($A71,'[1]2014'!$B$4:$R$53,14,0)</f>
        <v>8</v>
      </c>
      <c r="T71" s="34">
        <f>VLOOKUP($A71,'[1]2014'!$B$4:$R$53,15,0)</f>
        <v>0</v>
      </c>
      <c r="U71" s="34">
        <f>VLOOKUP($A71,'[1]2014'!$B$4:$R$53,16,0)</f>
        <v>0</v>
      </c>
      <c r="V71" s="142">
        <f>VLOOKUP($A71,'[1]2014'!$B$4:$R$53,17,0)</f>
        <v>0</v>
      </c>
      <c r="AA71" s="36">
        <v>0</v>
      </c>
      <c r="AB71" s="36">
        <v>0</v>
      </c>
      <c r="AC71" s="36">
        <v>0</v>
      </c>
      <c r="AD71" s="36">
        <v>0</v>
      </c>
      <c r="AE71" s="36">
        <v>0</v>
      </c>
      <c r="AG71" s="455">
        <f t="shared" si="1"/>
        <v>0</v>
      </c>
      <c r="AH71" s="455">
        <f t="shared" si="1"/>
        <v>8</v>
      </c>
      <c r="AI71" s="455">
        <f t="shared" si="1"/>
        <v>0</v>
      </c>
      <c r="AJ71" s="455">
        <f t="shared" si="1"/>
        <v>0</v>
      </c>
      <c r="AK71" s="455">
        <f t="shared" si="1"/>
        <v>0</v>
      </c>
    </row>
    <row r="72" spans="1:37" s="232" customFormat="1" ht="14.25" customHeight="1">
      <c r="A72" s="407" t="s">
        <v>94</v>
      </c>
      <c r="B72" s="408"/>
      <c r="C72" s="298" t="s">
        <v>53</v>
      </c>
      <c r="D72" s="298"/>
      <c r="E72" s="298">
        <v>1984</v>
      </c>
      <c r="F72" s="299">
        <v>4500</v>
      </c>
      <c r="G72" s="299">
        <v>25000</v>
      </c>
      <c r="H72" s="298" t="s">
        <v>29</v>
      </c>
      <c r="I72" s="298"/>
      <c r="J72" s="311"/>
      <c r="K72" s="311" t="s">
        <v>76</v>
      </c>
      <c r="L72" s="409"/>
      <c r="M72" s="410"/>
      <c r="N72" s="411"/>
      <c r="O72" s="274">
        <v>0</v>
      </c>
      <c r="P72" s="83">
        <v>0</v>
      </c>
      <c r="Q72" s="83">
        <v>0</v>
      </c>
      <c r="R72" s="139">
        <v>0</v>
      </c>
      <c r="S72" s="319">
        <v>0</v>
      </c>
      <c r="T72" s="320">
        <v>0</v>
      </c>
      <c r="U72" s="320">
        <v>0</v>
      </c>
      <c r="V72" s="321">
        <v>0</v>
      </c>
      <c r="AA72" s="232">
        <v>0</v>
      </c>
      <c r="AB72" s="232">
        <v>0</v>
      </c>
      <c r="AC72" s="232">
        <v>0</v>
      </c>
      <c r="AD72" s="232">
        <v>0</v>
      </c>
      <c r="AE72" s="232">
        <v>0</v>
      </c>
      <c r="AG72" s="454">
        <f t="shared" si="1"/>
        <v>0</v>
      </c>
      <c r="AH72" s="454">
        <f t="shared" si="1"/>
        <v>0</v>
      </c>
      <c r="AI72" s="454">
        <f t="shared" si="1"/>
        <v>0</v>
      </c>
      <c r="AJ72" s="454">
        <f t="shared" si="1"/>
        <v>0</v>
      </c>
      <c r="AK72" s="454">
        <f t="shared" si="1"/>
        <v>0</v>
      </c>
    </row>
    <row r="73" spans="1:37" s="36" customFormat="1" ht="6" customHeight="1">
      <c r="A73" s="129"/>
      <c r="B73" s="134"/>
      <c r="C73" s="184"/>
      <c r="D73" s="156"/>
      <c r="E73" s="157"/>
      <c r="F73" s="158"/>
      <c r="G73" s="158"/>
      <c r="H73" s="159"/>
      <c r="I73" s="146"/>
      <c r="J73" s="146"/>
      <c r="K73" s="146"/>
      <c r="L73" s="160"/>
      <c r="M73" s="247"/>
      <c r="N73" s="160"/>
      <c r="O73" s="186"/>
      <c r="P73" s="33"/>
      <c r="Q73" s="33">
        <v>0</v>
      </c>
      <c r="R73" s="33"/>
      <c r="S73" s="33"/>
      <c r="T73" s="33"/>
      <c r="U73" s="33"/>
      <c r="V73" s="33"/>
      <c r="AA73" s="36">
        <v>0</v>
      </c>
      <c r="AB73" s="36">
        <v>0</v>
      </c>
      <c r="AC73" s="36">
        <v>0</v>
      </c>
      <c r="AD73" s="36">
        <v>0</v>
      </c>
      <c r="AE73" s="36">
        <v>0</v>
      </c>
      <c r="AG73" s="455">
        <f t="shared" si="1"/>
        <v>0</v>
      </c>
      <c r="AH73" s="455">
        <f t="shared" si="1"/>
        <v>0</v>
      </c>
      <c r="AI73" s="455">
        <f t="shared" si="1"/>
        <v>0</v>
      </c>
      <c r="AJ73" s="455">
        <f t="shared" si="1"/>
        <v>0</v>
      </c>
      <c r="AK73" s="455">
        <f t="shared" si="1"/>
        <v>0</v>
      </c>
    </row>
    <row r="74" spans="1:37" s="36" customFormat="1" ht="15">
      <c r="A74" s="201" t="s">
        <v>152</v>
      </c>
      <c r="B74" s="207"/>
      <c r="C74" s="203"/>
      <c r="D74" s="204"/>
      <c r="E74" s="205"/>
      <c r="F74" s="204"/>
      <c r="G74" s="204"/>
      <c r="H74" s="204"/>
      <c r="I74" s="204"/>
      <c r="J74" s="257"/>
      <c r="K74" s="257"/>
      <c r="L74" s="264"/>
      <c r="M74" s="265"/>
      <c r="N74" s="255"/>
      <c r="O74" s="272"/>
      <c r="P74" s="238"/>
      <c r="Q74" s="238"/>
      <c r="R74" s="240"/>
      <c r="S74" s="206"/>
      <c r="T74" s="82"/>
      <c r="U74" s="82"/>
      <c r="V74" s="92"/>
      <c r="AG74" s="455">
        <f t="shared" si="1"/>
        <v>0</v>
      </c>
      <c r="AH74" s="455">
        <f t="shared" si="1"/>
        <v>0</v>
      </c>
      <c r="AI74" s="455">
        <f t="shared" si="1"/>
        <v>0</v>
      </c>
      <c r="AJ74" s="455">
        <f t="shared" si="1"/>
        <v>0</v>
      </c>
      <c r="AK74" s="455">
        <f t="shared" si="1"/>
        <v>0</v>
      </c>
    </row>
    <row r="75" spans="1:37" s="5" customFormat="1" ht="6" customHeight="1">
      <c r="A75" s="161"/>
      <c r="B75" s="198"/>
      <c r="C75" s="156"/>
      <c r="D75" s="156"/>
      <c r="E75" s="157"/>
      <c r="F75" s="158"/>
      <c r="G75" s="158"/>
      <c r="H75" s="159"/>
      <c r="I75" s="146"/>
      <c r="J75" s="146"/>
      <c r="K75" s="146"/>
      <c r="L75" s="160"/>
      <c r="M75" s="247"/>
      <c r="N75" s="160"/>
      <c r="O75" s="273"/>
      <c r="P75" s="33"/>
      <c r="Q75" s="34">
        <v>0</v>
      </c>
      <c r="R75" s="142"/>
      <c r="S75" s="34"/>
      <c r="T75" s="34"/>
      <c r="U75" s="34"/>
      <c r="V75" s="392"/>
      <c r="AA75" s="5">
        <v>0</v>
      </c>
      <c r="AB75" s="5">
        <v>0</v>
      </c>
      <c r="AC75" s="5">
        <v>0</v>
      </c>
      <c r="AD75" s="5">
        <v>0</v>
      </c>
      <c r="AE75" s="5">
        <v>0</v>
      </c>
      <c r="AG75" s="459">
        <f t="shared" si="1"/>
        <v>0</v>
      </c>
      <c r="AH75" s="459">
        <f t="shared" si="1"/>
        <v>0</v>
      </c>
      <c r="AI75" s="459">
        <f t="shared" si="1"/>
        <v>0</v>
      </c>
      <c r="AJ75" s="459">
        <f t="shared" si="1"/>
        <v>0</v>
      </c>
      <c r="AK75" s="459">
        <f t="shared" si="1"/>
        <v>0</v>
      </c>
    </row>
    <row r="76" spans="1:37" s="232" customFormat="1" ht="15.75" customHeight="1">
      <c r="A76" s="366" t="s">
        <v>143</v>
      </c>
      <c r="B76" s="132" t="s">
        <v>145</v>
      </c>
      <c r="C76" s="86" t="s">
        <v>53</v>
      </c>
      <c r="D76" s="163" t="s">
        <v>61</v>
      </c>
      <c r="E76" s="172">
        <v>2009</v>
      </c>
      <c r="F76" s="143">
        <v>10000</v>
      </c>
      <c r="G76" s="143">
        <v>30000</v>
      </c>
      <c r="H76" s="174" t="s">
        <v>32</v>
      </c>
      <c r="I76" s="150" t="s">
        <v>121</v>
      </c>
      <c r="J76" s="150">
        <v>41244</v>
      </c>
      <c r="K76" s="150">
        <v>41699</v>
      </c>
      <c r="L76" s="131">
        <v>582000</v>
      </c>
      <c r="M76" s="234">
        <v>552000</v>
      </c>
      <c r="N76" s="131"/>
      <c r="O76" s="274">
        <v>0</v>
      </c>
      <c r="P76" s="83">
        <v>0</v>
      </c>
      <c r="Q76" s="83">
        <v>0</v>
      </c>
      <c r="R76" s="139">
        <v>0</v>
      </c>
      <c r="S76" s="274">
        <f>VLOOKUP($A76,'[1]2014'!$B$4:$R$53,14,0)</f>
        <v>0</v>
      </c>
      <c r="T76" s="83">
        <f>VLOOKUP($A76,'[1]2014'!$B$4:$R$53,15,0)</f>
        <v>12</v>
      </c>
      <c r="U76" s="83">
        <f>VLOOKUP($A76,'[1]2014'!$B$4:$R$53,16,0)</f>
        <v>70</v>
      </c>
      <c r="V76" s="139">
        <f>VLOOKUP($A76,'[1]2014'!$B$4:$R$53,17,0)</f>
        <v>0</v>
      </c>
      <c r="AA76" s="232">
        <v>0</v>
      </c>
      <c r="AB76" s="232">
        <v>0</v>
      </c>
      <c r="AC76" s="232">
        <v>12</v>
      </c>
      <c r="AD76" s="232">
        <v>72</v>
      </c>
      <c r="AE76" s="232">
        <v>0</v>
      </c>
      <c r="AG76" s="454">
        <f t="shared" si="1"/>
        <v>0</v>
      </c>
      <c r="AH76" s="454">
        <f t="shared" si="1"/>
        <v>0</v>
      </c>
      <c r="AI76" s="454">
        <f t="shared" si="1"/>
        <v>0</v>
      </c>
      <c r="AJ76" s="454">
        <f t="shared" si="1"/>
        <v>-2</v>
      </c>
      <c r="AK76" s="454">
        <f t="shared" si="1"/>
        <v>0</v>
      </c>
    </row>
    <row r="77" spans="1:37" s="232" customFormat="1" ht="15.75" customHeight="1">
      <c r="A77" s="366"/>
      <c r="B77" s="132" t="s">
        <v>252</v>
      </c>
      <c r="C77" s="86"/>
      <c r="D77" s="163"/>
      <c r="E77" s="172"/>
      <c r="F77" s="143"/>
      <c r="G77" s="143"/>
      <c r="H77" s="174" t="s">
        <v>32</v>
      </c>
      <c r="I77" s="150" t="s">
        <v>121</v>
      </c>
      <c r="J77" s="150">
        <v>41699</v>
      </c>
      <c r="K77" s="150">
        <v>41791</v>
      </c>
      <c r="L77" s="131">
        <v>503000</v>
      </c>
      <c r="M77" s="234">
        <v>582000</v>
      </c>
      <c r="N77" s="131"/>
      <c r="O77" s="274" t="s">
        <v>51</v>
      </c>
      <c r="P77" s="83" t="s">
        <v>51</v>
      </c>
      <c r="Q77" s="83"/>
      <c r="R77" s="139"/>
      <c r="S77" s="274"/>
      <c r="T77" s="83"/>
      <c r="U77" s="83"/>
      <c r="V77" s="139"/>
      <c r="AG77" s="454">
        <f t="shared" si="1"/>
        <v>0</v>
      </c>
      <c r="AH77" s="454">
        <f t="shared" si="1"/>
        <v>0</v>
      </c>
      <c r="AI77" s="454">
        <f t="shared" si="1"/>
        <v>0</v>
      </c>
      <c r="AJ77" s="454">
        <f t="shared" si="1"/>
        <v>0</v>
      </c>
      <c r="AK77" s="454">
        <f t="shared" si="1"/>
        <v>0</v>
      </c>
    </row>
    <row r="78" spans="1:37" s="232" customFormat="1" ht="15.75" customHeight="1">
      <c r="A78" s="366"/>
      <c r="B78" s="132" t="s">
        <v>149</v>
      </c>
      <c r="C78" s="86"/>
      <c r="D78" s="163"/>
      <c r="E78" s="172"/>
      <c r="F78" s="143"/>
      <c r="G78" s="143"/>
      <c r="H78" s="174" t="s">
        <v>32</v>
      </c>
      <c r="I78" s="150" t="s">
        <v>35</v>
      </c>
      <c r="J78" s="150">
        <v>41852</v>
      </c>
      <c r="K78" s="150">
        <v>42217</v>
      </c>
      <c r="L78" s="131">
        <v>598000</v>
      </c>
      <c r="M78" s="234">
        <v>503000</v>
      </c>
      <c r="N78" s="131"/>
      <c r="O78" s="274"/>
      <c r="P78" s="83"/>
      <c r="Q78" s="83"/>
      <c r="R78" s="139"/>
      <c r="S78" s="83"/>
      <c r="T78" s="83"/>
      <c r="U78" s="83"/>
      <c r="V78" s="139"/>
      <c r="AG78" s="454">
        <f t="shared" si="1"/>
        <v>0</v>
      </c>
      <c r="AH78" s="454">
        <f t="shared" si="1"/>
        <v>0</v>
      </c>
      <c r="AI78" s="454">
        <f t="shared" si="1"/>
        <v>0</v>
      </c>
      <c r="AJ78" s="454">
        <f t="shared" si="1"/>
        <v>0</v>
      </c>
      <c r="AK78" s="454">
        <f t="shared" si="1"/>
        <v>0</v>
      </c>
    </row>
    <row r="79" spans="1:37" s="36" customFormat="1" ht="15.75" customHeight="1">
      <c r="A79" s="356" t="s">
        <v>142</v>
      </c>
      <c r="B79" s="250" t="s">
        <v>258</v>
      </c>
      <c r="C79" s="51" t="s">
        <v>53</v>
      </c>
      <c r="D79" s="145" t="s">
        <v>61</v>
      </c>
      <c r="E79" s="169">
        <v>2010</v>
      </c>
      <c r="F79" s="52">
        <v>10000</v>
      </c>
      <c r="G79" s="52">
        <v>30000</v>
      </c>
      <c r="H79" s="165" t="s">
        <v>32</v>
      </c>
      <c r="I79" s="166" t="s">
        <v>81</v>
      </c>
      <c r="J79" s="166">
        <v>41456</v>
      </c>
      <c r="K79" s="166">
        <v>42186</v>
      </c>
      <c r="L79" s="58">
        <v>542000</v>
      </c>
      <c r="M79" s="63">
        <v>504000</v>
      </c>
      <c r="N79" s="58"/>
      <c r="O79" s="275">
        <v>0</v>
      </c>
      <c r="P79" s="34">
        <v>0</v>
      </c>
      <c r="Q79" s="34">
        <v>0</v>
      </c>
      <c r="R79" s="142">
        <v>0</v>
      </c>
      <c r="S79" s="34">
        <v>0</v>
      </c>
      <c r="T79" s="34">
        <v>0</v>
      </c>
      <c r="U79" s="34">
        <v>0</v>
      </c>
      <c r="V79" s="142">
        <v>0</v>
      </c>
      <c r="AA79" s="36">
        <v>0</v>
      </c>
      <c r="AB79" s="36">
        <v>0</v>
      </c>
      <c r="AC79" s="36">
        <v>0</v>
      </c>
      <c r="AD79" s="36">
        <v>0</v>
      </c>
      <c r="AE79" s="36">
        <v>0</v>
      </c>
      <c r="AG79" s="455">
        <f t="shared" si="1"/>
        <v>0</v>
      </c>
      <c r="AH79" s="455">
        <f t="shared" si="1"/>
        <v>0</v>
      </c>
      <c r="AI79" s="455">
        <f t="shared" si="1"/>
        <v>0</v>
      </c>
      <c r="AJ79" s="455">
        <f t="shared" si="1"/>
        <v>0</v>
      </c>
      <c r="AK79" s="455">
        <f t="shared" si="1"/>
        <v>0</v>
      </c>
    </row>
    <row r="80" spans="1:37" s="232" customFormat="1" ht="14.25" customHeight="1">
      <c r="A80" s="422" t="s">
        <v>185</v>
      </c>
      <c r="B80" s="132">
        <v>-6</v>
      </c>
      <c r="C80" s="367" t="s">
        <v>53</v>
      </c>
      <c r="D80" s="367"/>
      <c r="E80" s="367" t="s">
        <v>11</v>
      </c>
      <c r="F80" s="368">
        <v>5000</v>
      </c>
      <c r="G80" s="368">
        <v>30000</v>
      </c>
      <c r="H80" s="367" t="s">
        <v>74</v>
      </c>
      <c r="I80" s="367" t="s">
        <v>12</v>
      </c>
      <c r="J80" s="150">
        <v>40452</v>
      </c>
      <c r="K80" s="150">
        <v>41730</v>
      </c>
      <c r="L80" s="131">
        <v>347000</v>
      </c>
      <c r="M80" s="234">
        <v>381000</v>
      </c>
      <c r="N80" s="131"/>
      <c r="O80" s="274">
        <v>5.125</v>
      </c>
      <c r="P80" s="83">
        <v>0</v>
      </c>
      <c r="Q80" s="83">
        <v>0</v>
      </c>
      <c r="R80" s="139">
        <f>VLOOKUP($A80,'[1]2013'!$B$4:$V$48,21,0)</f>
        <v>0</v>
      </c>
      <c r="S80" s="83">
        <v>0</v>
      </c>
      <c r="T80" s="83">
        <v>0</v>
      </c>
      <c r="U80" s="83">
        <v>0</v>
      </c>
      <c r="V80" s="139">
        <v>0</v>
      </c>
      <c r="AA80" s="232">
        <v>0</v>
      </c>
      <c r="AB80" s="232">
        <v>0</v>
      </c>
      <c r="AC80" s="232">
        <v>0</v>
      </c>
      <c r="AD80" s="232">
        <v>0</v>
      </c>
      <c r="AE80" s="232">
        <v>0</v>
      </c>
      <c r="AG80" s="454">
        <f t="shared" si="1"/>
        <v>0</v>
      </c>
      <c r="AH80" s="454">
        <f t="shared" si="1"/>
        <v>0</v>
      </c>
      <c r="AI80" s="454">
        <f t="shared" si="1"/>
        <v>0</v>
      </c>
      <c r="AJ80" s="454">
        <f t="shared" si="1"/>
        <v>0</v>
      </c>
      <c r="AK80" s="454">
        <f t="shared" si="1"/>
        <v>0</v>
      </c>
    </row>
    <row r="81" spans="1:37" s="232" customFormat="1" ht="14.25" customHeight="1">
      <c r="A81" s="349"/>
      <c r="B81" s="132" t="s">
        <v>220</v>
      </c>
      <c r="C81" s="86"/>
      <c r="D81" s="163"/>
      <c r="E81" s="172"/>
      <c r="F81" s="143"/>
      <c r="G81" s="143"/>
      <c r="H81" s="367" t="s">
        <v>74</v>
      </c>
      <c r="I81" s="367" t="s">
        <v>248</v>
      </c>
      <c r="J81" s="150">
        <v>41756</v>
      </c>
      <c r="K81" s="150">
        <v>42024</v>
      </c>
      <c r="L81" s="131">
        <v>476000</v>
      </c>
      <c r="M81" s="234">
        <v>347000</v>
      </c>
      <c r="N81" s="132"/>
      <c r="O81" s="274"/>
      <c r="P81" s="83"/>
      <c r="Q81" s="83"/>
      <c r="R81" s="139"/>
      <c r="S81" s="274"/>
      <c r="T81" s="83"/>
      <c r="U81" s="83"/>
      <c r="V81" s="139"/>
      <c r="AG81" s="454">
        <f t="shared" si="1"/>
        <v>0</v>
      </c>
      <c r="AH81" s="454">
        <f t="shared" si="1"/>
        <v>0</v>
      </c>
      <c r="AI81" s="454">
        <f t="shared" si="1"/>
        <v>0</v>
      </c>
      <c r="AJ81" s="454">
        <f t="shared" si="1"/>
        <v>0</v>
      </c>
      <c r="AK81" s="454">
        <f t="shared" si="1"/>
        <v>0</v>
      </c>
    </row>
    <row r="82" spans="1:37" ht="14.25" customHeight="1">
      <c r="A82" s="154" t="s">
        <v>144</v>
      </c>
      <c r="B82" s="250" t="s">
        <v>149</v>
      </c>
      <c r="C82" s="51" t="s">
        <v>53</v>
      </c>
      <c r="D82" s="51"/>
      <c r="E82" s="51" t="s">
        <v>20</v>
      </c>
      <c r="F82" s="52">
        <v>4500</v>
      </c>
      <c r="G82" s="52">
        <v>25000</v>
      </c>
      <c r="H82" s="51" t="s">
        <v>32</v>
      </c>
      <c r="I82" s="51" t="s">
        <v>81</v>
      </c>
      <c r="J82" s="166">
        <v>40969</v>
      </c>
      <c r="K82" s="166">
        <v>42064</v>
      </c>
      <c r="L82" s="58">
        <v>406000</v>
      </c>
      <c r="M82" s="63">
        <v>469000</v>
      </c>
      <c r="N82" s="58"/>
      <c r="O82" s="314">
        <v>3</v>
      </c>
      <c r="P82" s="33">
        <v>0</v>
      </c>
      <c r="Q82" s="34">
        <v>0</v>
      </c>
      <c r="R82" s="142">
        <f>VLOOKUP($A82,'[1]2013'!$B$4:$V$48,21,0)</f>
        <v>0</v>
      </c>
      <c r="S82" s="34">
        <v>0</v>
      </c>
      <c r="T82" s="34">
        <v>0</v>
      </c>
      <c r="U82" s="34">
        <v>0</v>
      </c>
      <c r="V82" s="142">
        <v>0</v>
      </c>
      <c r="AA82" s="7">
        <v>0</v>
      </c>
      <c r="AB82" s="7">
        <v>0</v>
      </c>
      <c r="AC82" s="7">
        <v>0</v>
      </c>
      <c r="AD82" s="7">
        <v>0</v>
      </c>
      <c r="AE82" s="7">
        <v>0</v>
      </c>
      <c r="AG82" s="456">
        <f t="shared" si="1"/>
        <v>0</v>
      </c>
      <c r="AH82" s="456">
        <f t="shared" si="1"/>
        <v>0</v>
      </c>
      <c r="AI82" s="456">
        <f t="shared" si="1"/>
        <v>0</v>
      </c>
      <c r="AJ82" s="456">
        <f t="shared" si="1"/>
        <v>0</v>
      </c>
      <c r="AK82" s="456">
        <f t="shared" si="1"/>
        <v>0</v>
      </c>
    </row>
    <row r="83" spans="1:37" s="232" customFormat="1" ht="14.25" customHeight="1">
      <c r="A83" s="151" t="s">
        <v>146</v>
      </c>
      <c r="B83" s="133">
        <v>-7</v>
      </c>
      <c r="C83" s="86" t="s">
        <v>53</v>
      </c>
      <c r="D83" s="86"/>
      <c r="E83" s="86">
        <v>1990</v>
      </c>
      <c r="F83" s="143">
        <v>2000</v>
      </c>
      <c r="G83" s="143">
        <v>25000</v>
      </c>
      <c r="H83" s="86" t="s">
        <v>30</v>
      </c>
      <c r="I83" s="86" t="s">
        <v>45</v>
      </c>
      <c r="J83" s="150">
        <v>41518</v>
      </c>
      <c r="K83" s="150">
        <v>41883</v>
      </c>
      <c r="L83" s="131">
        <v>442000</v>
      </c>
      <c r="M83" s="234">
        <v>350000</v>
      </c>
      <c r="N83" s="131"/>
      <c r="O83" s="274">
        <v>0</v>
      </c>
      <c r="P83" s="83">
        <v>0</v>
      </c>
      <c r="Q83" s="83">
        <v>0</v>
      </c>
      <c r="R83" s="139">
        <v>0</v>
      </c>
      <c r="S83" s="83">
        <v>0</v>
      </c>
      <c r="T83" s="83">
        <v>0</v>
      </c>
      <c r="U83" s="83">
        <v>0</v>
      </c>
      <c r="V83" s="139">
        <v>0</v>
      </c>
      <c r="AA83" s="232">
        <v>0</v>
      </c>
      <c r="AB83" s="232">
        <v>0</v>
      </c>
      <c r="AC83" s="232">
        <v>0</v>
      </c>
      <c r="AD83" s="232">
        <v>0</v>
      </c>
      <c r="AE83" s="232">
        <v>0</v>
      </c>
      <c r="AG83" s="454">
        <f t="shared" si="1"/>
        <v>0</v>
      </c>
      <c r="AH83" s="454">
        <f t="shared" si="1"/>
        <v>0</v>
      </c>
      <c r="AI83" s="454">
        <f t="shared" si="1"/>
        <v>0</v>
      </c>
      <c r="AJ83" s="454">
        <f t="shared" si="1"/>
        <v>0</v>
      </c>
      <c r="AK83" s="454">
        <f t="shared" si="1"/>
        <v>0</v>
      </c>
    </row>
    <row r="84" spans="1:37" s="232" customFormat="1" ht="14.25" customHeight="1">
      <c r="A84" s="151"/>
      <c r="B84" s="133">
        <v>-7</v>
      </c>
      <c r="C84" s="86"/>
      <c r="D84" s="86"/>
      <c r="E84" s="86"/>
      <c r="F84" s="143"/>
      <c r="G84" s="143"/>
      <c r="H84" s="86" t="s">
        <v>30</v>
      </c>
      <c r="I84" s="86" t="s">
        <v>45</v>
      </c>
      <c r="J84" s="150">
        <f>+K83</f>
        <v>41883</v>
      </c>
      <c r="K84" s="150">
        <v>42064</v>
      </c>
      <c r="L84" s="131">
        <v>448000</v>
      </c>
      <c r="M84" s="234">
        <v>442000</v>
      </c>
      <c r="N84" s="131"/>
      <c r="O84" s="274" t="s">
        <v>51</v>
      </c>
      <c r="P84" s="83" t="s">
        <v>51</v>
      </c>
      <c r="Q84" s="83"/>
      <c r="R84" s="139"/>
      <c r="S84" s="83"/>
      <c r="T84" s="83"/>
      <c r="U84" s="83"/>
      <c r="V84" s="139"/>
      <c r="AG84" s="454">
        <f t="shared" ref="AG84:AK134" si="2">R84-AA84</f>
        <v>0</v>
      </c>
      <c r="AH84" s="454">
        <f t="shared" si="2"/>
        <v>0</v>
      </c>
      <c r="AI84" s="454">
        <f t="shared" si="2"/>
        <v>0</v>
      </c>
      <c r="AJ84" s="454">
        <f t="shared" si="2"/>
        <v>0</v>
      </c>
      <c r="AK84" s="454">
        <f t="shared" si="2"/>
        <v>0</v>
      </c>
    </row>
    <row r="85" spans="1:37" s="36" customFormat="1" ht="15.75" customHeight="1">
      <c r="A85" s="154" t="s">
        <v>147</v>
      </c>
      <c r="B85" s="250" t="s">
        <v>149</v>
      </c>
      <c r="C85" s="51" t="s">
        <v>53</v>
      </c>
      <c r="D85" s="51"/>
      <c r="E85" s="51">
        <v>1986</v>
      </c>
      <c r="F85" s="52">
        <v>1650</v>
      </c>
      <c r="G85" s="52">
        <v>25000</v>
      </c>
      <c r="H85" s="51" t="s">
        <v>32</v>
      </c>
      <c r="I85" s="51" t="s">
        <v>93</v>
      </c>
      <c r="J85" s="146">
        <v>41518</v>
      </c>
      <c r="K85" s="146">
        <v>41774</v>
      </c>
      <c r="L85" s="58">
        <v>416000</v>
      </c>
      <c r="M85" s="63">
        <v>423000</v>
      </c>
      <c r="N85" s="58"/>
      <c r="O85" s="275">
        <v>0</v>
      </c>
      <c r="P85" s="34">
        <v>0</v>
      </c>
      <c r="Q85" s="34">
        <v>0</v>
      </c>
      <c r="R85" s="142">
        <v>0</v>
      </c>
      <c r="S85" s="34">
        <f>VLOOKUP($A85,'[1]2014'!$B$4:$R$53,14,0)</f>
        <v>0</v>
      </c>
      <c r="T85" s="34">
        <f>VLOOKUP($A85,'[1]2014'!$B$4:$R$53,15,0)</f>
        <v>0</v>
      </c>
      <c r="U85" s="34">
        <f>VLOOKUP($A85,'[1]2014'!$B$4:$R$53,16,0)</f>
        <v>34</v>
      </c>
      <c r="V85" s="142">
        <f>VLOOKUP($A85,'[1]2014'!$B$4:$R$53,17,0)</f>
        <v>44</v>
      </c>
      <c r="AA85" s="36">
        <v>0</v>
      </c>
      <c r="AB85" s="36">
        <v>0</v>
      </c>
      <c r="AC85" s="36">
        <v>0</v>
      </c>
      <c r="AD85" s="36">
        <v>34</v>
      </c>
      <c r="AE85" s="36">
        <v>45</v>
      </c>
      <c r="AG85" s="455">
        <f t="shared" si="2"/>
        <v>0</v>
      </c>
      <c r="AH85" s="455">
        <f t="shared" si="2"/>
        <v>0</v>
      </c>
      <c r="AI85" s="455">
        <f t="shared" si="2"/>
        <v>0</v>
      </c>
      <c r="AJ85" s="455">
        <f t="shared" si="2"/>
        <v>0</v>
      </c>
      <c r="AK85" s="455">
        <f t="shared" si="2"/>
        <v>-1</v>
      </c>
    </row>
    <row r="86" spans="1:37" s="36" customFormat="1" ht="18.75" customHeight="1">
      <c r="A86" s="154"/>
      <c r="B86" s="250" t="s">
        <v>149</v>
      </c>
      <c r="C86" s="51"/>
      <c r="D86" s="51"/>
      <c r="E86" s="51"/>
      <c r="F86" s="52"/>
      <c r="G86" s="52"/>
      <c r="H86" s="51" t="s">
        <v>32</v>
      </c>
      <c r="I86" s="51" t="s">
        <v>93</v>
      </c>
      <c r="J86" s="146">
        <f>K85</f>
        <v>41774</v>
      </c>
      <c r="K86" s="146">
        <v>42156</v>
      </c>
      <c r="L86" s="58">
        <v>420000</v>
      </c>
      <c r="M86" s="63">
        <v>416000</v>
      </c>
      <c r="N86" s="58"/>
      <c r="O86" s="275" t="s">
        <v>51</v>
      </c>
      <c r="P86" s="34" t="s">
        <v>51</v>
      </c>
      <c r="Q86" s="34"/>
      <c r="R86" s="142"/>
      <c r="S86" s="34"/>
      <c r="T86" s="34"/>
      <c r="U86" s="34"/>
      <c r="V86" s="142"/>
      <c r="AG86" s="455">
        <f t="shared" si="2"/>
        <v>0</v>
      </c>
      <c r="AH86" s="455">
        <f t="shared" si="2"/>
        <v>0</v>
      </c>
      <c r="AI86" s="455">
        <f t="shared" si="2"/>
        <v>0</v>
      </c>
      <c r="AJ86" s="455">
        <f t="shared" si="2"/>
        <v>0</v>
      </c>
      <c r="AK86" s="455">
        <f t="shared" si="2"/>
        <v>0</v>
      </c>
    </row>
    <row r="87" spans="1:37" s="232" customFormat="1" ht="14.25" customHeight="1">
      <c r="A87" s="364" t="s">
        <v>186</v>
      </c>
      <c r="B87" s="133" t="s">
        <v>145</v>
      </c>
      <c r="C87" s="86" t="s">
        <v>53</v>
      </c>
      <c r="D87" s="86"/>
      <c r="E87" s="86">
        <v>1985</v>
      </c>
      <c r="F87" s="143">
        <v>1500</v>
      </c>
      <c r="G87" s="143">
        <v>25000</v>
      </c>
      <c r="H87" s="86" t="s">
        <v>32</v>
      </c>
      <c r="I87" s="86" t="s">
        <v>81</v>
      </c>
      <c r="J87" s="147">
        <v>40210</v>
      </c>
      <c r="K87" s="357">
        <v>41671</v>
      </c>
      <c r="L87" s="131">
        <v>522000</v>
      </c>
      <c r="M87" s="234">
        <v>309000</v>
      </c>
      <c r="N87" s="131"/>
      <c r="O87" s="274">
        <v>0</v>
      </c>
      <c r="P87" s="83">
        <v>0</v>
      </c>
      <c r="Q87" s="83">
        <v>0</v>
      </c>
      <c r="R87" s="83">
        <v>0</v>
      </c>
      <c r="S87" s="274">
        <f>VLOOKUP($A87,'[1]2014'!$B$4:$R$53,14,0)</f>
        <v>21</v>
      </c>
      <c r="T87" s="83">
        <f>VLOOKUP($A87,'[1]2014'!$B$4:$R$53,15,0)</f>
        <v>91</v>
      </c>
      <c r="U87" s="83">
        <f>VLOOKUP($A87,'[1]2014'!$B$4:$R$53,16,0)</f>
        <v>15</v>
      </c>
      <c r="V87" s="139">
        <f>VLOOKUP($A87,'[1]2014'!$B$4:$R$53,17,0)</f>
        <v>0</v>
      </c>
      <c r="W87" s="232" t="s">
        <v>278</v>
      </c>
      <c r="AA87" s="232">
        <v>0</v>
      </c>
      <c r="AB87" s="232">
        <v>41</v>
      </c>
      <c r="AC87" s="232">
        <v>48</v>
      </c>
      <c r="AD87" s="232">
        <v>0</v>
      </c>
      <c r="AE87" s="232">
        <v>0</v>
      </c>
      <c r="AG87" s="454">
        <f t="shared" si="2"/>
        <v>0</v>
      </c>
      <c r="AH87" s="454">
        <f t="shared" si="2"/>
        <v>-20</v>
      </c>
      <c r="AI87" s="454">
        <f t="shared" si="2"/>
        <v>43</v>
      </c>
      <c r="AJ87" s="454">
        <f t="shared" si="2"/>
        <v>15</v>
      </c>
      <c r="AK87" s="454">
        <f t="shared" si="2"/>
        <v>0</v>
      </c>
    </row>
    <row r="88" spans="1:37" s="232" customFormat="1" ht="14.25" customHeight="1">
      <c r="A88" s="151"/>
      <c r="B88" s="401" t="s">
        <v>102</v>
      </c>
      <c r="C88" s="86"/>
      <c r="D88" s="86"/>
      <c r="E88" s="86"/>
      <c r="F88" s="143"/>
      <c r="G88" s="143"/>
      <c r="H88" s="397" t="s">
        <v>272</v>
      </c>
      <c r="I88" s="397" t="s">
        <v>35</v>
      </c>
      <c r="J88" s="398">
        <v>41836</v>
      </c>
      <c r="K88" s="398">
        <v>41943</v>
      </c>
      <c r="L88" s="399">
        <v>620000</v>
      </c>
      <c r="M88" s="423">
        <v>522000</v>
      </c>
      <c r="N88" s="131"/>
      <c r="O88" s="274"/>
      <c r="P88" s="83"/>
      <c r="Q88" s="83"/>
      <c r="R88" s="139"/>
      <c r="S88" s="83"/>
      <c r="T88" s="83"/>
      <c r="U88" s="83"/>
      <c r="V88" s="139"/>
      <c r="AG88" s="454">
        <f t="shared" si="2"/>
        <v>0</v>
      </c>
      <c r="AH88" s="454">
        <f t="shared" si="2"/>
        <v>0</v>
      </c>
      <c r="AI88" s="454">
        <f t="shared" si="2"/>
        <v>0</v>
      </c>
      <c r="AJ88" s="454">
        <f t="shared" si="2"/>
        <v>0</v>
      </c>
      <c r="AK88" s="454">
        <f t="shared" si="2"/>
        <v>0</v>
      </c>
    </row>
    <row r="89" spans="1:37" s="232" customFormat="1" ht="14.25" customHeight="1">
      <c r="A89" s="151"/>
      <c r="B89" s="401" t="s">
        <v>102</v>
      </c>
      <c r="C89" s="86"/>
      <c r="D89" s="86"/>
      <c r="E89" s="86"/>
      <c r="F89" s="143"/>
      <c r="G89" s="143"/>
      <c r="H89" s="397" t="s">
        <v>272</v>
      </c>
      <c r="I89" s="397" t="s">
        <v>35</v>
      </c>
      <c r="J89" s="398">
        <f>K88</f>
        <v>41943</v>
      </c>
      <c r="K89" s="398">
        <v>42185</v>
      </c>
      <c r="L89" s="399">
        <v>589000</v>
      </c>
      <c r="M89" s="400">
        <f>L88</f>
        <v>620000</v>
      </c>
      <c r="N89" s="131"/>
      <c r="O89" s="274"/>
      <c r="P89" s="83"/>
      <c r="Q89" s="83"/>
      <c r="R89" s="139"/>
      <c r="S89" s="83"/>
      <c r="T89" s="83"/>
      <c r="U89" s="83"/>
      <c r="V89" s="139"/>
      <c r="AG89" s="454">
        <f t="shared" si="2"/>
        <v>0</v>
      </c>
      <c r="AH89" s="454">
        <f t="shared" si="2"/>
        <v>0</v>
      </c>
      <c r="AI89" s="454">
        <f t="shared" si="2"/>
        <v>0</v>
      </c>
      <c r="AJ89" s="454">
        <f t="shared" si="2"/>
        <v>0</v>
      </c>
      <c r="AK89" s="454">
        <f t="shared" si="2"/>
        <v>0</v>
      </c>
    </row>
    <row r="90" spans="1:37" s="232" customFormat="1" ht="14.25" customHeight="1">
      <c r="A90" s="151"/>
      <c r="B90" s="401" t="s">
        <v>102</v>
      </c>
      <c r="C90" s="86"/>
      <c r="D90" s="86"/>
      <c r="E90" s="86"/>
      <c r="F90" s="143"/>
      <c r="G90" s="143"/>
      <c r="H90" s="397" t="s">
        <v>272</v>
      </c>
      <c r="I90" s="397" t="s">
        <v>35</v>
      </c>
      <c r="J90" s="398">
        <f>K89</f>
        <v>42185</v>
      </c>
      <c r="K90" s="398">
        <v>42308</v>
      </c>
      <c r="L90" s="399">
        <v>620000</v>
      </c>
      <c r="M90" s="400">
        <f t="shared" ref="M90:M93" si="3">L89</f>
        <v>589000</v>
      </c>
      <c r="N90" s="131"/>
      <c r="O90" s="274"/>
      <c r="P90" s="83"/>
      <c r="Q90" s="83"/>
      <c r="R90" s="139"/>
      <c r="S90" s="83"/>
      <c r="T90" s="83"/>
      <c r="U90" s="83"/>
      <c r="V90" s="139"/>
      <c r="AG90" s="454">
        <f t="shared" si="2"/>
        <v>0</v>
      </c>
      <c r="AH90" s="454">
        <f t="shared" si="2"/>
        <v>0</v>
      </c>
      <c r="AI90" s="454">
        <f t="shared" si="2"/>
        <v>0</v>
      </c>
      <c r="AJ90" s="454">
        <f t="shared" si="2"/>
        <v>0</v>
      </c>
      <c r="AK90" s="454">
        <f t="shared" si="2"/>
        <v>0</v>
      </c>
    </row>
    <row r="91" spans="1:37" s="232" customFormat="1" ht="14.25" customHeight="1">
      <c r="A91" s="151"/>
      <c r="B91" s="401" t="s">
        <v>102</v>
      </c>
      <c r="C91" s="86"/>
      <c r="D91" s="86"/>
      <c r="E91" s="86"/>
      <c r="F91" s="143"/>
      <c r="G91" s="143"/>
      <c r="H91" s="397" t="s">
        <v>272</v>
      </c>
      <c r="I91" s="397" t="s">
        <v>35</v>
      </c>
      <c r="J91" s="398">
        <f>K90</f>
        <v>42308</v>
      </c>
      <c r="K91" s="398">
        <v>42551</v>
      </c>
      <c r="L91" s="399">
        <v>589000</v>
      </c>
      <c r="M91" s="400">
        <f t="shared" si="3"/>
        <v>620000</v>
      </c>
      <c r="N91" s="131"/>
      <c r="O91" s="274"/>
      <c r="P91" s="83"/>
      <c r="Q91" s="83"/>
      <c r="R91" s="139"/>
      <c r="S91" s="83"/>
      <c r="T91" s="83"/>
      <c r="U91" s="83"/>
      <c r="V91" s="139"/>
      <c r="AG91" s="454">
        <f t="shared" si="2"/>
        <v>0</v>
      </c>
      <c r="AH91" s="454">
        <f t="shared" si="2"/>
        <v>0</v>
      </c>
      <c r="AI91" s="454">
        <f t="shared" si="2"/>
        <v>0</v>
      </c>
      <c r="AJ91" s="454">
        <f t="shared" si="2"/>
        <v>0</v>
      </c>
      <c r="AK91" s="454">
        <f t="shared" si="2"/>
        <v>0</v>
      </c>
    </row>
    <row r="92" spans="1:37" s="232" customFormat="1" ht="14.25" customHeight="1">
      <c r="A92" s="151"/>
      <c r="B92" s="401" t="s">
        <v>102</v>
      </c>
      <c r="C92" s="86"/>
      <c r="D92" s="86"/>
      <c r="E92" s="86"/>
      <c r="F92" s="143"/>
      <c r="G92" s="143"/>
      <c r="H92" s="397" t="s">
        <v>272</v>
      </c>
      <c r="I92" s="397" t="s">
        <v>35</v>
      </c>
      <c r="J92" s="398">
        <f>K91</f>
        <v>42551</v>
      </c>
      <c r="K92" s="398">
        <v>42674</v>
      </c>
      <c r="L92" s="399">
        <v>620000</v>
      </c>
      <c r="M92" s="400">
        <f t="shared" si="3"/>
        <v>589000</v>
      </c>
      <c r="N92" s="131"/>
      <c r="O92" s="274"/>
      <c r="P92" s="83"/>
      <c r="Q92" s="83"/>
      <c r="R92" s="139"/>
      <c r="S92" s="83"/>
      <c r="T92" s="83"/>
      <c r="U92" s="83"/>
      <c r="V92" s="139"/>
      <c r="AG92" s="454">
        <f t="shared" si="2"/>
        <v>0</v>
      </c>
      <c r="AH92" s="454">
        <f t="shared" si="2"/>
        <v>0</v>
      </c>
      <c r="AI92" s="454">
        <f t="shared" si="2"/>
        <v>0</v>
      </c>
      <c r="AJ92" s="454">
        <f t="shared" si="2"/>
        <v>0</v>
      </c>
      <c r="AK92" s="454">
        <f t="shared" si="2"/>
        <v>0</v>
      </c>
    </row>
    <row r="93" spans="1:37" s="232" customFormat="1" ht="14.25" customHeight="1">
      <c r="A93" s="151"/>
      <c r="B93" s="401" t="s">
        <v>102</v>
      </c>
      <c r="C93" s="86"/>
      <c r="D93" s="86"/>
      <c r="E93" s="86"/>
      <c r="F93" s="143"/>
      <c r="G93" s="143"/>
      <c r="H93" s="397" t="s">
        <v>272</v>
      </c>
      <c r="I93" s="397" t="s">
        <v>35</v>
      </c>
      <c r="J93" s="398">
        <f>K92</f>
        <v>42674</v>
      </c>
      <c r="K93" s="398">
        <v>42916</v>
      </c>
      <c r="L93" s="399">
        <v>589000</v>
      </c>
      <c r="M93" s="400">
        <f t="shared" si="3"/>
        <v>620000</v>
      </c>
      <c r="N93" s="131"/>
      <c r="O93" s="274"/>
      <c r="P93" s="83"/>
      <c r="Q93" s="83"/>
      <c r="R93" s="139"/>
      <c r="S93" s="83"/>
      <c r="T93" s="83"/>
      <c r="U93" s="83"/>
      <c r="V93" s="139"/>
      <c r="AG93" s="454">
        <f t="shared" si="2"/>
        <v>0</v>
      </c>
      <c r="AH93" s="454">
        <f t="shared" si="2"/>
        <v>0</v>
      </c>
      <c r="AI93" s="454">
        <f t="shared" si="2"/>
        <v>0</v>
      </c>
      <c r="AJ93" s="454">
        <f t="shared" si="2"/>
        <v>0</v>
      </c>
      <c r="AK93" s="454">
        <f t="shared" si="2"/>
        <v>0</v>
      </c>
    </row>
    <row r="94" spans="1:37" s="232" customFormat="1" ht="6.75" customHeight="1">
      <c r="A94" s="420"/>
      <c r="B94" s="297"/>
      <c r="C94" s="86"/>
      <c r="D94" s="298"/>
      <c r="E94" s="298"/>
      <c r="F94" s="299"/>
      <c r="G94" s="299"/>
      <c r="H94" s="298"/>
      <c r="I94" s="298"/>
      <c r="J94" s="311"/>
      <c r="K94" s="311"/>
      <c r="L94" s="300"/>
      <c r="M94" s="301"/>
      <c r="N94" s="131"/>
      <c r="O94" s="274"/>
      <c r="P94" s="83"/>
      <c r="Q94" s="83"/>
      <c r="R94" s="139"/>
      <c r="S94" s="319"/>
      <c r="T94" s="320"/>
      <c r="U94" s="320"/>
      <c r="V94" s="321"/>
      <c r="AG94" s="454">
        <f t="shared" si="2"/>
        <v>0</v>
      </c>
      <c r="AH94" s="454">
        <f t="shared" si="2"/>
        <v>0</v>
      </c>
      <c r="AI94" s="454">
        <f t="shared" si="2"/>
        <v>0</v>
      </c>
      <c r="AJ94" s="454">
        <f t="shared" si="2"/>
        <v>0</v>
      </c>
      <c r="AK94" s="454">
        <f t="shared" si="2"/>
        <v>0</v>
      </c>
    </row>
    <row r="95" spans="1:37" s="36" customFormat="1" ht="6" customHeight="1">
      <c r="A95" s="193"/>
      <c r="B95" s="58"/>
      <c r="C95" s="184"/>
      <c r="D95" s="156"/>
      <c r="E95" s="157"/>
      <c r="F95" s="158"/>
      <c r="G95" s="158"/>
      <c r="H95" s="159"/>
      <c r="I95" s="146"/>
      <c r="J95" s="261"/>
      <c r="K95" s="146"/>
      <c r="L95" s="160"/>
      <c r="M95" s="271"/>
      <c r="N95" s="160"/>
      <c r="O95" s="186"/>
      <c r="P95" s="54"/>
      <c r="Q95" s="54"/>
      <c r="R95" s="54"/>
      <c r="S95" s="54"/>
      <c r="T95" s="54"/>
      <c r="U95" s="54"/>
      <c r="V95" s="54"/>
      <c r="AG95" s="455">
        <f t="shared" si="2"/>
        <v>0</v>
      </c>
      <c r="AH95" s="455">
        <f t="shared" si="2"/>
        <v>0</v>
      </c>
      <c r="AI95" s="455">
        <f t="shared" si="2"/>
        <v>0</v>
      </c>
      <c r="AJ95" s="455">
        <f t="shared" si="2"/>
        <v>0</v>
      </c>
      <c r="AK95" s="455">
        <f t="shared" si="2"/>
        <v>0</v>
      </c>
    </row>
    <row r="96" spans="1:37" s="36" customFormat="1" ht="14.25" customHeight="1">
      <c r="A96" s="201" t="s">
        <v>80</v>
      </c>
      <c r="B96" s="207"/>
      <c r="C96" s="203"/>
      <c r="D96" s="204"/>
      <c r="E96" s="205"/>
      <c r="F96" s="204"/>
      <c r="G96" s="204"/>
      <c r="H96" s="204"/>
      <c r="I96" s="204"/>
      <c r="J96" s="257"/>
      <c r="K96" s="257"/>
      <c r="L96" s="264"/>
      <c r="M96" s="265"/>
      <c r="N96" s="255"/>
      <c r="O96" s="272"/>
      <c r="P96" s="239"/>
      <c r="Q96" s="239"/>
      <c r="R96" s="237"/>
      <c r="S96" s="206"/>
      <c r="T96" s="82"/>
      <c r="U96" s="82"/>
      <c r="V96" s="92"/>
      <c r="AG96" s="455">
        <f t="shared" si="2"/>
        <v>0</v>
      </c>
      <c r="AH96" s="455">
        <f t="shared" si="2"/>
        <v>0</v>
      </c>
      <c r="AI96" s="455">
        <f t="shared" si="2"/>
        <v>0</v>
      </c>
      <c r="AJ96" s="455">
        <f t="shared" si="2"/>
        <v>0</v>
      </c>
      <c r="AK96" s="455">
        <f t="shared" si="2"/>
        <v>0</v>
      </c>
    </row>
    <row r="97" spans="1:37" s="36" customFormat="1" ht="6" customHeight="1">
      <c r="A97" s="161"/>
      <c r="B97" s="198"/>
      <c r="C97" s="156"/>
      <c r="D97" s="156"/>
      <c r="E97" s="157"/>
      <c r="F97" s="158"/>
      <c r="G97" s="158"/>
      <c r="H97" s="159"/>
      <c r="I97" s="146"/>
      <c r="J97" s="146"/>
      <c r="K97" s="146"/>
      <c r="L97" s="160"/>
      <c r="M97" s="247"/>
      <c r="N97" s="160"/>
      <c r="O97" s="273"/>
      <c r="P97" s="54"/>
      <c r="Q97" s="54">
        <v>0</v>
      </c>
      <c r="R97" s="162"/>
      <c r="S97" s="54"/>
      <c r="T97" s="54"/>
      <c r="U97" s="54"/>
      <c r="V97" s="162"/>
      <c r="AA97" s="36">
        <v>0</v>
      </c>
      <c r="AB97" s="36">
        <v>0</v>
      </c>
      <c r="AC97" s="36">
        <v>0</v>
      </c>
      <c r="AD97" s="36">
        <v>0</v>
      </c>
      <c r="AE97" s="36">
        <v>0</v>
      </c>
      <c r="AG97" s="455">
        <f t="shared" si="2"/>
        <v>0</v>
      </c>
      <c r="AH97" s="455">
        <f t="shared" si="2"/>
        <v>0</v>
      </c>
      <c r="AI97" s="455">
        <f t="shared" si="2"/>
        <v>0</v>
      </c>
      <c r="AJ97" s="455">
        <f t="shared" si="2"/>
        <v>0</v>
      </c>
      <c r="AK97" s="455">
        <f t="shared" si="2"/>
        <v>0</v>
      </c>
    </row>
    <row r="98" spans="1:37" s="232" customFormat="1" ht="14.25" customHeight="1">
      <c r="A98" s="151" t="s">
        <v>8</v>
      </c>
      <c r="B98" s="133"/>
      <c r="C98" s="86" t="s">
        <v>53</v>
      </c>
      <c r="D98" s="86"/>
      <c r="E98" s="86" t="s">
        <v>24</v>
      </c>
      <c r="F98" s="143">
        <v>3600</v>
      </c>
      <c r="G98" s="143">
        <v>25000</v>
      </c>
      <c r="H98" s="86" t="s">
        <v>46</v>
      </c>
      <c r="I98" s="86"/>
      <c r="J98" s="259"/>
      <c r="K98" s="147" t="s">
        <v>76</v>
      </c>
      <c r="L98" s="411"/>
      <c r="M98" s="305"/>
      <c r="N98" s="413"/>
      <c r="O98" s="274">
        <v>0</v>
      </c>
      <c r="P98" s="83">
        <v>0</v>
      </c>
      <c r="Q98" s="83">
        <v>0</v>
      </c>
      <c r="R98" s="139">
        <v>0</v>
      </c>
      <c r="S98" s="83">
        <v>0</v>
      </c>
      <c r="T98" s="83">
        <v>0</v>
      </c>
      <c r="U98" s="83">
        <v>0</v>
      </c>
      <c r="V98" s="139">
        <v>0</v>
      </c>
      <c r="AA98" s="232">
        <v>0</v>
      </c>
      <c r="AB98" s="232">
        <v>0</v>
      </c>
      <c r="AC98" s="232">
        <v>0</v>
      </c>
      <c r="AD98" s="232">
        <v>0</v>
      </c>
      <c r="AE98" s="232">
        <v>0</v>
      </c>
      <c r="AG98" s="454">
        <f t="shared" si="2"/>
        <v>0</v>
      </c>
      <c r="AH98" s="454">
        <f t="shared" si="2"/>
        <v>0</v>
      </c>
      <c r="AI98" s="454">
        <f t="shared" si="2"/>
        <v>0</v>
      </c>
      <c r="AJ98" s="454">
        <f t="shared" si="2"/>
        <v>0</v>
      </c>
      <c r="AK98" s="454">
        <f t="shared" si="2"/>
        <v>0</v>
      </c>
    </row>
    <row r="99" spans="1:37" s="36" customFormat="1">
      <c r="A99" s="144" t="s">
        <v>44</v>
      </c>
      <c r="B99" s="198"/>
      <c r="C99" s="51" t="s">
        <v>53</v>
      </c>
      <c r="D99" s="51"/>
      <c r="E99" s="51">
        <v>1983</v>
      </c>
      <c r="F99" s="52">
        <v>3500</v>
      </c>
      <c r="G99" s="52">
        <v>25000</v>
      </c>
      <c r="H99" s="51" t="s">
        <v>90</v>
      </c>
      <c r="I99" s="51" t="s">
        <v>118</v>
      </c>
      <c r="J99" s="166">
        <v>40969</v>
      </c>
      <c r="K99" s="166">
        <v>41699</v>
      </c>
      <c r="L99" s="58">
        <v>293000</v>
      </c>
      <c r="M99" s="63">
        <v>300000</v>
      </c>
      <c r="N99" s="58"/>
      <c r="O99" s="275">
        <v>0</v>
      </c>
      <c r="P99" s="34">
        <v>0</v>
      </c>
      <c r="Q99" s="34">
        <v>0</v>
      </c>
      <c r="R99" s="142">
        <f>VLOOKUP($A99,'[1]2013'!$B$4:$V$48,21,0)</f>
        <v>11</v>
      </c>
      <c r="S99" s="275">
        <f>VLOOKUP($A99,'[1]2014'!$B$4:$R$53,14,0)</f>
        <v>34</v>
      </c>
      <c r="T99" s="34">
        <f>VLOOKUP($A99,'[1]2014'!$B$4:$R$53,15,0)</f>
        <v>0</v>
      </c>
      <c r="U99" s="34">
        <f>VLOOKUP($A99,'[1]2014'!$B$4:$R$53,16,0)</f>
        <v>0</v>
      </c>
      <c r="V99" s="142">
        <f>VLOOKUP($A99,'[1]2014'!$B$4:$R$53,17,0)</f>
        <v>0</v>
      </c>
      <c r="AA99" s="36">
        <v>11</v>
      </c>
      <c r="AB99" s="36">
        <v>34</v>
      </c>
      <c r="AC99" s="36">
        <v>0</v>
      </c>
      <c r="AD99" s="36">
        <v>0</v>
      </c>
      <c r="AE99" s="36">
        <v>0</v>
      </c>
      <c r="AG99" s="455">
        <f t="shared" si="2"/>
        <v>0</v>
      </c>
      <c r="AH99" s="455">
        <f t="shared" si="2"/>
        <v>0</v>
      </c>
      <c r="AI99" s="455">
        <f t="shared" si="2"/>
        <v>0</v>
      </c>
      <c r="AJ99" s="455">
        <f t="shared" si="2"/>
        <v>0</v>
      </c>
      <c r="AK99" s="455">
        <f t="shared" si="2"/>
        <v>0</v>
      </c>
    </row>
    <row r="100" spans="1:37" s="36" customFormat="1">
      <c r="A100" s="354"/>
      <c r="B100" s="198">
        <v>-7</v>
      </c>
      <c r="C100" s="51"/>
      <c r="D100" s="51"/>
      <c r="E100" s="51"/>
      <c r="F100" s="52"/>
      <c r="G100" s="52"/>
      <c r="H100" s="51" t="s">
        <v>38</v>
      </c>
      <c r="I100" s="51" t="s">
        <v>118</v>
      </c>
      <c r="J100" s="166">
        <v>41699</v>
      </c>
      <c r="K100" s="166">
        <v>41912</v>
      </c>
      <c r="L100" s="58">
        <v>428000</v>
      </c>
      <c r="M100" s="63">
        <v>293000</v>
      </c>
      <c r="N100" s="58"/>
      <c r="O100" s="275"/>
      <c r="P100" s="34"/>
      <c r="Q100" s="34"/>
      <c r="R100" s="142"/>
      <c r="S100" s="34"/>
      <c r="T100" s="34"/>
      <c r="U100" s="34"/>
      <c r="V100" s="142"/>
      <c r="AG100" s="455">
        <f t="shared" si="2"/>
        <v>0</v>
      </c>
      <c r="AH100" s="455">
        <f t="shared" si="2"/>
        <v>0</v>
      </c>
      <c r="AI100" s="455">
        <f t="shared" si="2"/>
        <v>0</v>
      </c>
      <c r="AJ100" s="455">
        <f t="shared" si="2"/>
        <v>0</v>
      </c>
      <c r="AK100" s="455">
        <f t="shared" si="2"/>
        <v>0</v>
      </c>
    </row>
    <row r="101" spans="1:37" s="232" customFormat="1">
      <c r="A101" s="282" t="s">
        <v>116</v>
      </c>
      <c r="B101" s="132"/>
      <c r="C101" s="86" t="s">
        <v>53</v>
      </c>
      <c r="D101" s="86"/>
      <c r="E101" s="86" t="s">
        <v>225</v>
      </c>
      <c r="F101" s="143">
        <v>3500</v>
      </c>
      <c r="G101" s="143">
        <v>25000</v>
      </c>
      <c r="H101" s="86" t="s">
        <v>249</v>
      </c>
      <c r="I101" s="86"/>
      <c r="J101" s="150"/>
      <c r="K101" s="150" t="s">
        <v>250</v>
      </c>
      <c r="L101" s="131"/>
      <c r="M101" s="234"/>
      <c r="N101" s="131"/>
      <c r="O101" s="274">
        <v>0</v>
      </c>
      <c r="P101" s="83">
        <v>0</v>
      </c>
      <c r="Q101" s="83">
        <v>0</v>
      </c>
      <c r="R101" s="139">
        <f>VLOOKUP($A101,'[1]2013'!$B$4:$V$48,21,0)</f>
        <v>0</v>
      </c>
      <c r="S101" s="274">
        <f>VLOOKUP($A101,'[1]2014'!$B$4:$R$53,14,0)</f>
        <v>0</v>
      </c>
      <c r="T101" s="83">
        <f>VLOOKUP($A101,'[1]2014'!$B$4:$R$53,15,0)</f>
        <v>0</v>
      </c>
      <c r="U101" s="83">
        <f>VLOOKUP($A101,'[1]2014'!$B$4:$R$53,16,0)</f>
        <v>0</v>
      </c>
      <c r="V101" s="139">
        <f>VLOOKUP($A101,'[1]2014'!$B$4:$R$53,17,0)</f>
        <v>0</v>
      </c>
      <c r="AA101" s="232">
        <v>0</v>
      </c>
      <c r="AB101" s="232">
        <v>0</v>
      </c>
      <c r="AC101" s="232">
        <v>0</v>
      </c>
      <c r="AD101" s="232">
        <v>0</v>
      </c>
      <c r="AE101" s="232">
        <v>0</v>
      </c>
      <c r="AG101" s="454">
        <f t="shared" si="2"/>
        <v>0</v>
      </c>
      <c r="AH101" s="454">
        <f t="shared" si="2"/>
        <v>0</v>
      </c>
      <c r="AI101" s="454">
        <f t="shared" si="2"/>
        <v>0</v>
      </c>
      <c r="AJ101" s="454">
        <f t="shared" si="2"/>
        <v>0</v>
      </c>
      <c r="AK101" s="454">
        <f t="shared" si="2"/>
        <v>0</v>
      </c>
    </row>
    <row r="102" spans="1:37" s="36" customFormat="1">
      <c r="A102" s="463" t="s">
        <v>187</v>
      </c>
      <c r="B102" s="250"/>
      <c r="C102" s="51" t="s">
        <v>53</v>
      </c>
      <c r="D102" s="51"/>
      <c r="E102" s="51" t="s">
        <v>49</v>
      </c>
      <c r="F102" s="52">
        <v>3400</v>
      </c>
      <c r="G102" s="52">
        <v>25000</v>
      </c>
      <c r="H102" s="51" t="s">
        <v>228</v>
      </c>
      <c r="I102" s="51"/>
      <c r="J102" s="146"/>
      <c r="K102" s="146" t="s">
        <v>76</v>
      </c>
      <c r="L102" s="58"/>
      <c r="M102" s="63"/>
      <c r="N102" s="58"/>
      <c r="O102" s="275">
        <v>0</v>
      </c>
      <c r="P102" s="34">
        <v>0</v>
      </c>
      <c r="Q102" s="34">
        <v>0</v>
      </c>
      <c r="R102" s="142">
        <f>VLOOKUP($A102,'[1]2013'!$B$4:$V$48,21,0)</f>
        <v>0</v>
      </c>
      <c r="S102" s="34">
        <f>VLOOKUP($A102,'[1]2014'!$B$4:$R$53,14,0)</f>
        <v>0</v>
      </c>
      <c r="T102" s="462">
        <f>VLOOKUP($A102,'[1]2014'!$B$4:$R$53,15,0)</f>
        <v>0</v>
      </c>
      <c r="U102" s="462">
        <f>VLOOKUP($A102,'[1]2014'!$B$4:$R$53,16,0)</f>
        <v>0</v>
      </c>
      <c r="V102" s="142">
        <f>VLOOKUP($A102,'[1]2014'!$B$4:$R$53,17,0)</f>
        <v>0</v>
      </c>
      <c r="AA102" s="36">
        <v>0</v>
      </c>
      <c r="AB102" s="36">
        <v>0</v>
      </c>
      <c r="AC102" s="36">
        <v>0</v>
      </c>
      <c r="AD102" s="36">
        <v>0</v>
      </c>
      <c r="AE102" s="36">
        <v>0</v>
      </c>
      <c r="AG102" s="455">
        <f t="shared" si="2"/>
        <v>0</v>
      </c>
      <c r="AH102" s="455">
        <f t="shared" si="2"/>
        <v>0</v>
      </c>
      <c r="AI102" s="455">
        <f t="shared" si="2"/>
        <v>0</v>
      </c>
      <c r="AJ102" s="455">
        <f t="shared" si="2"/>
        <v>0</v>
      </c>
      <c r="AK102" s="455">
        <f t="shared" si="2"/>
        <v>0</v>
      </c>
    </row>
    <row r="103" spans="1:37" s="232" customFormat="1" ht="14.25" customHeight="1">
      <c r="A103" s="151" t="s">
        <v>188</v>
      </c>
      <c r="B103" s="133" t="s">
        <v>179</v>
      </c>
      <c r="C103" s="86" t="s">
        <v>53</v>
      </c>
      <c r="D103" s="86"/>
      <c r="E103" s="86">
        <v>1991</v>
      </c>
      <c r="F103" s="143">
        <v>3000</v>
      </c>
      <c r="G103" s="143">
        <v>25000</v>
      </c>
      <c r="H103" s="86" t="s">
        <v>31</v>
      </c>
      <c r="I103" s="86" t="s">
        <v>33</v>
      </c>
      <c r="J103" s="147">
        <v>40360</v>
      </c>
      <c r="K103" s="147">
        <v>42552</v>
      </c>
      <c r="L103" s="131">
        <v>266000</v>
      </c>
      <c r="M103" s="234">
        <v>116000</v>
      </c>
      <c r="N103" s="131"/>
      <c r="O103" s="274">
        <v>0</v>
      </c>
      <c r="P103" s="83">
        <v>0</v>
      </c>
      <c r="Q103" s="83">
        <v>0</v>
      </c>
      <c r="R103" s="139">
        <f>VLOOKUP($A103,'[1]2013'!$B$4:$V$48,21,0)</f>
        <v>0</v>
      </c>
      <c r="S103" s="83">
        <f>VLOOKUP($A103,'[1]2014'!$B$4:$R$53,14,0)</f>
        <v>0</v>
      </c>
      <c r="T103" s="83">
        <f>VLOOKUP($A103,'[1]2014'!$B$4:$R$53,15,0)</f>
        <v>0</v>
      </c>
      <c r="U103" s="83">
        <f>VLOOKUP($A103,'[1]2014'!$B$4:$R$53,16,0)</f>
        <v>0</v>
      </c>
      <c r="V103" s="139">
        <f>VLOOKUP($A103,'[1]2014'!$B$4:$R$53,17,0)</f>
        <v>20</v>
      </c>
      <c r="AA103" s="232">
        <v>0</v>
      </c>
      <c r="AB103" s="232">
        <v>0</v>
      </c>
      <c r="AC103" s="232">
        <v>0</v>
      </c>
      <c r="AD103" s="232">
        <v>0</v>
      </c>
      <c r="AE103" s="232">
        <v>20</v>
      </c>
      <c r="AG103" s="454">
        <f t="shared" si="2"/>
        <v>0</v>
      </c>
      <c r="AH103" s="454">
        <f t="shared" si="2"/>
        <v>0</v>
      </c>
      <c r="AI103" s="454">
        <f t="shared" si="2"/>
        <v>0</v>
      </c>
      <c r="AJ103" s="454">
        <f t="shared" si="2"/>
        <v>0</v>
      </c>
      <c r="AK103" s="454">
        <f t="shared" si="2"/>
        <v>0</v>
      </c>
    </row>
    <row r="104" spans="1:37" s="36" customFormat="1" ht="13.5" customHeight="1">
      <c r="A104" s="192" t="s">
        <v>85</v>
      </c>
      <c r="B104" s="250"/>
      <c r="C104" s="51" t="s">
        <v>53</v>
      </c>
      <c r="D104" s="51"/>
      <c r="E104" s="51">
        <v>1983</v>
      </c>
      <c r="F104" s="52">
        <v>2800</v>
      </c>
      <c r="G104" s="52">
        <v>25000</v>
      </c>
      <c r="H104" s="51" t="s">
        <v>119</v>
      </c>
      <c r="I104" s="51" t="s">
        <v>36</v>
      </c>
      <c r="J104" s="166">
        <v>41456</v>
      </c>
      <c r="K104" s="166">
        <v>42277</v>
      </c>
      <c r="L104" s="58">
        <v>365000</v>
      </c>
      <c r="M104" s="63">
        <v>340000</v>
      </c>
      <c r="N104" s="58"/>
      <c r="O104" s="275">
        <v>0</v>
      </c>
      <c r="P104" s="34">
        <v>58</v>
      </c>
      <c r="Q104" s="34">
        <v>92</v>
      </c>
      <c r="R104" s="142">
        <f>VLOOKUP($A104,'[1]2013'!$B$4:$V$48,21,0)</f>
        <v>0</v>
      </c>
      <c r="S104" s="34">
        <v>0</v>
      </c>
      <c r="T104" s="34">
        <v>0</v>
      </c>
      <c r="U104" s="34">
        <v>0</v>
      </c>
      <c r="V104" s="142">
        <v>0</v>
      </c>
      <c r="AA104" s="36">
        <v>0</v>
      </c>
      <c r="AB104" s="36">
        <v>0</v>
      </c>
      <c r="AC104" s="36">
        <v>0</v>
      </c>
      <c r="AD104" s="36">
        <v>0</v>
      </c>
      <c r="AE104" s="36">
        <v>0</v>
      </c>
      <c r="AG104" s="455">
        <f t="shared" si="2"/>
        <v>0</v>
      </c>
      <c r="AH104" s="455">
        <f t="shared" si="2"/>
        <v>0</v>
      </c>
      <c r="AI104" s="455">
        <f t="shared" si="2"/>
        <v>0</v>
      </c>
      <c r="AJ104" s="455">
        <f t="shared" si="2"/>
        <v>0</v>
      </c>
      <c r="AK104" s="455">
        <f t="shared" si="2"/>
        <v>0</v>
      </c>
    </row>
    <row r="105" spans="1:37" s="232" customFormat="1">
      <c r="A105" s="412" t="s">
        <v>189</v>
      </c>
      <c r="B105" s="133" t="s">
        <v>215</v>
      </c>
      <c r="C105" s="86" t="s">
        <v>53</v>
      </c>
      <c r="D105" s="86"/>
      <c r="E105" s="86">
        <v>1983</v>
      </c>
      <c r="F105" s="143">
        <v>2800</v>
      </c>
      <c r="G105" s="143">
        <v>25000</v>
      </c>
      <c r="H105" s="86" t="s">
        <v>40</v>
      </c>
      <c r="I105" s="86" t="s">
        <v>41</v>
      </c>
      <c r="J105" s="150">
        <v>40969</v>
      </c>
      <c r="K105" s="150">
        <v>41851</v>
      </c>
      <c r="L105" s="131">
        <v>260000</v>
      </c>
      <c r="M105" s="234" t="s">
        <v>42</v>
      </c>
      <c r="N105" s="131"/>
      <c r="O105" s="274">
        <v>0</v>
      </c>
      <c r="P105" s="83">
        <v>6</v>
      </c>
      <c r="Q105" s="83">
        <v>0</v>
      </c>
      <c r="R105" s="139">
        <f>VLOOKUP($A105,'[1]2013'!$B$4:$V$48,21,0)</f>
        <v>0</v>
      </c>
      <c r="S105" s="274">
        <f>VLOOKUP($A105,'[1]2014'!$B$4:$R$53,14,0)</f>
        <v>0</v>
      </c>
      <c r="T105" s="83">
        <f>VLOOKUP($A105,'[1]2014'!$B$4:$R$53,15,0)</f>
        <v>0</v>
      </c>
      <c r="U105" s="83">
        <f>VLOOKUP($A105,'[1]2014'!$B$4:$R$53,16,0)</f>
        <v>30</v>
      </c>
      <c r="V105" s="139">
        <f>VLOOKUP($A105,'[1]2014'!$B$4:$R$53,17,0)</f>
        <v>0</v>
      </c>
      <c r="AA105" s="232">
        <v>0</v>
      </c>
      <c r="AB105" s="232">
        <v>0</v>
      </c>
      <c r="AC105" s="232">
        <v>0</v>
      </c>
      <c r="AD105" s="232">
        <v>30</v>
      </c>
      <c r="AE105" s="232">
        <v>0</v>
      </c>
      <c r="AG105" s="454">
        <f t="shared" si="2"/>
        <v>0</v>
      </c>
      <c r="AH105" s="454">
        <f t="shared" si="2"/>
        <v>0</v>
      </c>
      <c r="AI105" s="454">
        <f t="shared" si="2"/>
        <v>0</v>
      </c>
      <c r="AJ105" s="454">
        <f t="shared" si="2"/>
        <v>0</v>
      </c>
      <c r="AK105" s="454">
        <f t="shared" si="2"/>
        <v>0</v>
      </c>
    </row>
    <row r="106" spans="1:37" s="36" customFormat="1" ht="15" customHeight="1">
      <c r="A106" s="164" t="s">
        <v>242</v>
      </c>
      <c r="B106" s="250"/>
      <c r="C106" s="51" t="s">
        <v>53</v>
      </c>
      <c r="D106" s="51"/>
      <c r="E106" s="51" t="s">
        <v>244</v>
      </c>
      <c r="F106" s="52">
        <v>2300</v>
      </c>
      <c r="G106" s="52">
        <v>25000</v>
      </c>
      <c r="H106" s="51" t="s">
        <v>9</v>
      </c>
      <c r="I106" s="51"/>
      <c r="J106" s="166"/>
      <c r="K106" s="166" t="s">
        <v>76</v>
      </c>
      <c r="L106" s="58"/>
      <c r="M106" s="63"/>
      <c r="N106" s="58"/>
      <c r="O106" s="275">
        <v>0</v>
      </c>
      <c r="P106" s="34">
        <v>0</v>
      </c>
      <c r="Q106" s="34">
        <v>0</v>
      </c>
      <c r="R106" s="142">
        <v>0</v>
      </c>
      <c r="S106" s="34">
        <v>0</v>
      </c>
      <c r="T106" s="34">
        <v>0</v>
      </c>
      <c r="U106" s="34">
        <v>0</v>
      </c>
      <c r="V106" s="142">
        <v>0</v>
      </c>
      <c r="AA106" s="36">
        <v>0</v>
      </c>
      <c r="AB106" s="36">
        <v>0</v>
      </c>
      <c r="AC106" s="36">
        <v>0</v>
      </c>
      <c r="AD106" s="36">
        <v>0</v>
      </c>
      <c r="AE106" s="36">
        <v>0</v>
      </c>
      <c r="AG106" s="455">
        <f t="shared" si="2"/>
        <v>0</v>
      </c>
      <c r="AH106" s="455">
        <f t="shared" si="2"/>
        <v>0</v>
      </c>
      <c r="AI106" s="455">
        <f t="shared" si="2"/>
        <v>0</v>
      </c>
      <c r="AJ106" s="455">
        <f t="shared" si="2"/>
        <v>0</v>
      </c>
      <c r="AK106" s="455">
        <f t="shared" si="2"/>
        <v>0</v>
      </c>
    </row>
    <row r="107" spans="1:37" s="232" customFormat="1" ht="14.25" customHeight="1">
      <c r="A107" s="148" t="s">
        <v>148</v>
      </c>
      <c r="B107" s="132">
        <v>-18</v>
      </c>
      <c r="C107" s="86" t="s">
        <v>53</v>
      </c>
      <c r="D107" s="86"/>
      <c r="E107" s="86">
        <v>1982</v>
      </c>
      <c r="F107" s="143">
        <v>1800</v>
      </c>
      <c r="G107" s="143">
        <v>25000</v>
      </c>
      <c r="H107" s="174" t="s">
        <v>30</v>
      </c>
      <c r="I107" s="150" t="s">
        <v>122</v>
      </c>
      <c r="J107" s="150">
        <v>41609</v>
      </c>
      <c r="K107" s="150">
        <v>41791</v>
      </c>
      <c r="L107" s="131">
        <v>350000</v>
      </c>
      <c r="M107" s="234">
        <v>275000</v>
      </c>
      <c r="N107" s="131"/>
      <c r="O107" s="274">
        <v>0</v>
      </c>
      <c r="P107" s="83">
        <v>0</v>
      </c>
      <c r="Q107" s="83">
        <v>59.947916666666671</v>
      </c>
      <c r="R107" s="139">
        <f>VLOOKUP($A107,'[1]2013'!$B$4:$V$48,21,0)</f>
        <v>86</v>
      </c>
      <c r="S107" s="83">
        <f>VLOOKUP($A107,'[1]2014'!$B$4:$R$53,14,0)</f>
        <v>0</v>
      </c>
      <c r="T107" s="83">
        <f>VLOOKUP($A107,'[1]2014'!$B$4:$R$53,15,0)</f>
        <v>0</v>
      </c>
      <c r="U107" s="83">
        <f>VLOOKUP($A107,'[1]2014'!$B$4:$R$53,16,0)</f>
        <v>0</v>
      </c>
      <c r="V107" s="139">
        <f>VLOOKUP($A107,'[1]2014'!$B$4:$R$53,17,0)</f>
        <v>0</v>
      </c>
      <c r="AA107" s="232">
        <v>86</v>
      </c>
      <c r="AB107" s="232">
        <v>0</v>
      </c>
      <c r="AC107" s="232">
        <v>0</v>
      </c>
      <c r="AD107" s="232">
        <v>0</v>
      </c>
      <c r="AE107" s="232">
        <v>0</v>
      </c>
      <c r="AG107" s="454">
        <f t="shared" si="2"/>
        <v>0</v>
      </c>
      <c r="AH107" s="454">
        <f t="shared" si="2"/>
        <v>0</v>
      </c>
      <c r="AI107" s="454">
        <f t="shared" si="2"/>
        <v>0</v>
      </c>
      <c r="AJ107" s="454">
        <f t="shared" si="2"/>
        <v>0</v>
      </c>
      <c r="AK107" s="454">
        <f t="shared" si="2"/>
        <v>0</v>
      </c>
    </row>
    <row r="108" spans="1:37" s="232" customFormat="1" ht="14.25" customHeight="1">
      <c r="A108" s="148"/>
      <c r="B108" s="132"/>
      <c r="C108" s="86"/>
      <c r="D108" s="86"/>
      <c r="E108" s="86"/>
      <c r="F108" s="143"/>
      <c r="G108" s="143"/>
      <c r="H108" s="174" t="s">
        <v>30</v>
      </c>
      <c r="I108" s="150" t="s">
        <v>122</v>
      </c>
      <c r="J108" s="150">
        <f>+K107</f>
        <v>41791</v>
      </c>
      <c r="K108" s="150">
        <v>41974</v>
      </c>
      <c r="L108" s="131">
        <v>355000</v>
      </c>
      <c r="M108" s="234">
        <f>+L107</f>
        <v>350000</v>
      </c>
      <c r="N108" s="131"/>
      <c r="O108" s="274" t="s">
        <v>51</v>
      </c>
      <c r="P108" s="83" t="s">
        <v>51</v>
      </c>
      <c r="Q108" s="83"/>
      <c r="R108" s="139"/>
      <c r="S108" s="83"/>
      <c r="T108" s="83"/>
      <c r="U108" s="83"/>
      <c r="V108" s="139"/>
      <c r="AG108" s="454">
        <f t="shared" si="2"/>
        <v>0</v>
      </c>
      <c r="AH108" s="454">
        <f t="shared" si="2"/>
        <v>0</v>
      </c>
      <c r="AI108" s="454">
        <f t="shared" si="2"/>
        <v>0</v>
      </c>
      <c r="AJ108" s="454">
        <f t="shared" si="2"/>
        <v>0</v>
      </c>
      <c r="AK108" s="454">
        <f t="shared" si="2"/>
        <v>0</v>
      </c>
    </row>
    <row r="109" spans="1:37" s="232" customFormat="1" ht="14.25" customHeight="1">
      <c r="A109" s="148"/>
      <c r="B109" s="132"/>
      <c r="C109" s="86"/>
      <c r="D109" s="86"/>
      <c r="E109" s="86"/>
      <c r="F109" s="143"/>
      <c r="G109" s="143"/>
      <c r="H109" s="174" t="s">
        <v>30</v>
      </c>
      <c r="I109" s="150" t="s">
        <v>122</v>
      </c>
      <c r="J109" s="150">
        <f>+K108</f>
        <v>41974</v>
      </c>
      <c r="K109" s="150">
        <v>42156</v>
      </c>
      <c r="L109" s="131">
        <v>361000</v>
      </c>
      <c r="M109" s="234">
        <f t="shared" ref="M109:M110" si="4">+L108</f>
        <v>355000</v>
      </c>
      <c r="N109" s="131"/>
      <c r="O109" s="274" t="s">
        <v>51</v>
      </c>
      <c r="P109" s="83" t="s">
        <v>51</v>
      </c>
      <c r="Q109" s="83"/>
      <c r="R109" s="139"/>
      <c r="S109" s="83"/>
      <c r="T109" s="83"/>
      <c r="U109" s="83"/>
      <c r="V109" s="139"/>
      <c r="AG109" s="454">
        <f t="shared" si="2"/>
        <v>0</v>
      </c>
      <c r="AH109" s="454">
        <f t="shared" si="2"/>
        <v>0</v>
      </c>
      <c r="AI109" s="454">
        <f t="shared" si="2"/>
        <v>0</v>
      </c>
      <c r="AJ109" s="454">
        <f t="shared" si="2"/>
        <v>0</v>
      </c>
      <c r="AK109" s="454">
        <f t="shared" si="2"/>
        <v>0</v>
      </c>
    </row>
    <row r="110" spans="1:37" s="232" customFormat="1" ht="14.25" customHeight="1">
      <c r="A110" s="148"/>
      <c r="B110" s="132"/>
      <c r="C110" s="86"/>
      <c r="D110" s="86"/>
      <c r="E110" s="86"/>
      <c r="F110" s="143"/>
      <c r="G110" s="143"/>
      <c r="H110" s="174" t="s">
        <v>30</v>
      </c>
      <c r="I110" s="150" t="s">
        <v>122</v>
      </c>
      <c r="J110" s="150">
        <f>+K109</f>
        <v>42156</v>
      </c>
      <c r="K110" s="150">
        <v>42339</v>
      </c>
      <c r="L110" s="131">
        <v>366000</v>
      </c>
      <c r="M110" s="234">
        <f t="shared" si="4"/>
        <v>361000</v>
      </c>
      <c r="N110" s="131"/>
      <c r="O110" s="274" t="s">
        <v>51</v>
      </c>
      <c r="P110" s="83" t="s">
        <v>51</v>
      </c>
      <c r="Q110" s="83"/>
      <c r="R110" s="139"/>
      <c r="S110" s="83"/>
      <c r="T110" s="83"/>
      <c r="U110" s="83"/>
      <c r="V110" s="139"/>
      <c r="AG110" s="454">
        <f t="shared" si="2"/>
        <v>0</v>
      </c>
      <c r="AH110" s="454">
        <f t="shared" si="2"/>
        <v>0</v>
      </c>
      <c r="AI110" s="454">
        <f t="shared" si="2"/>
        <v>0</v>
      </c>
      <c r="AJ110" s="454">
        <f t="shared" si="2"/>
        <v>0</v>
      </c>
      <c r="AK110" s="454">
        <f t="shared" si="2"/>
        <v>0</v>
      </c>
    </row>
    <row r="111" spans="1:37" s="36" customFormat="1">
      <c r="A111" s="192" t="s">
        <v>190</v>
      </c>
      <c r="B111" s="198">
        <v>-7</v>
      </c>
      <c r="C111" s="51" t="s">
        <v>53</v>
      </c>
      <c r="D111" s="51"/>
      <c r="E111" s="51">
        <v>1982</v>
      </c>
      <c r="F111" s="52">
        <v>1800</v>
      </c>
      <c r="G111" s="52">
        <v>25000</v>
      </c>
      <c r="H111" s="51" t="s">
        <v>30</v>
      </c>
      <c r="I111" s="51" t="s">
        <v>127</v>
      </c>
      <c r="J111" s="166">
        <v>41518</v>
      </c>
      <c r="K111" s="166">
        <v>42005</v>
      </c>
      <c r="L111" s="58">
        <v>362000</v>
      </c>
      <c r="M111" s="63">
        <v>360000</v>
      </c>
      <c r="N111" s="328"/>
      <c r="O111" s="275">
        <v>0</v>
      </c>
      <c r="P111" s="34">
        <v>0</v>
      </c>
      <c r="Q111" s="34">
        <v>0</v>
      </c>
      <c r="R111" s="142">
        <f>VLOOKUP($A111,'[1]2013'!$B$4:$V$48,21,0)</f>
        <v>16</v>
      </c>
      <c r="S111" s="34">
        <f>VLOOKUP($A111,'[1]2014'!$B$4:$R$53,14,0)</f>
        <v>82</v>
      </c>
      <c r="T111" s="34">
        <f>VLOOKUP($A111,'[1]2014'!$B$4:$R$53,15,0)</f>
        <v>0</v>
      </c>
      <c r="U111" s="34">
        <f>VLOOKUP($A111,'[1]2014'!$B$4:$R$53,16,0)</f>
        <v>0</v>
      </c>
      <c r="V111" s="142">
        <f>VLOOKUP($A111,'[1]2014'!$B$4:$R$53,17,0)</f>
        <v>0</v>
      </c>
      <c r="W111" s="36" t="s">
        <v>275</v>
      </c>
      <c r="AA111" s="36">
        <v>0</v>
      </c>
      <c r="AB111" s="36">
        <v>83</v>
      </c>
      <c r="AC111" s="36">
        <v>23</v>
      </c>
      <c r="AD111" s="36">
        <v>0</v>
      </c>
      <c r="AE111" s="36">
        <v>0</v>
      </c>
      <c r="AG111" s="455">
        <f t="shared" si="2"/>
        <v>16</v>
      </c>
      <c r="AH111" s="455">
        <f t="shared" si="2"/>
        <v>-1</v>
      </c>
      <c r="AI111" s="455">
        <f t="shared" si="2"/>
        <v>-23</v>
      </c>
      <c r="AJ111" s="455">
        <f t="shared" si="2"/>
        <v>0</v>
      </c>
      <c r="AK111" s="455">
        <f t="shared" si="2"/>
        <v>0</v>
      </c>
    </row>
    <row r="112" spans="1:37" s="36" customFormat="1">
      <c r="A112" s="144"/>
      <c r="B112" s="198">
        <v>-7</v>
      </c>
      <c r="C112" s="51"/>
      <c r="D112" s="51"/>
      <c r="E112" s="51"/>
      <c r="F112" s="52"/>
      <c r="G112" s="52"/>
      <c r="H112" s="51" t="s">
        <v>30</v>
      </c>
      <c r="I112" s="51" t="s">
        <v>127</v>
      </c>
      <c r="J112" s="166">
        <v>42005</v>
      </c>
      <c r="K112" s="166">
        <v>42370</v>
      </c>
      <c r="L112" s="58">
        <v>417000</v>
      </c>
      <c r="M112" s="63">
        <v>362000</v>
      </c>
      <c r="N112" s="328"/>
      <c r="O112" s="275" t="s">
        <v>51</v>
      </c>
      <c r="P112" s="34" t="s">
        <v>51</v>
      </c>
      <c r="Q112" s="34"/>
      <c r="R112" s="142"/>
      <c r="S112" s="34"/>
      <c r="T112" s="34"/>
      <c r="U112" s="34"/>
      <c r="V112" s="142"/>
      <c r="AG112" s="455">
        <f t="shared" si="2"/>
        <v>0</v>
      </c>
      <c r="AH112" s="455">
        <f t="shared" si="2"/>
        <v>0</v>
      </c>
      <c r="AI112" s="455">
        <f t="shared" si="2"/>
        <v>0</v>
      </c>
      <c r="AJ112" s="455">
        <f t="shared" si="2"/>
        <v>0</v>
      </c>
      <c r="AK112" s="455">
        <f t="shared" si="2"/>
        <v>0</v>
      </c>
    </row>
    <row r="113" spans="1:37" s="232" customFormat="1" ht="14.25" customHeight="1">
      <c r="A113" s="148" t="s">
        <v>203</v>
      </c>
      <c r="B113" s="132">
        <v>-7</v>
      </c>
      <c r="C113" s="86" t="s">
        <v>53</v>
      </c>
      <c r="D113" s="86"/>
      <c r="E113" s="86">
        <v>1984</v>
      </c>
      <c r="F113" s="143">
        <v>1800</v>
      </c>
      <c r="G113" s="143">
        <v>25000</v>
      </c>
      <c r="H113" s="370" t="s">
        <v>30</v>
      </c>
      <c r="I113" s="147" t="s">
        <v>212</v>
      </c>
      <c r="J113" s="259">
        <v>41578</v>
      </c>
      <c r="K113" s="147">
        <v>41669</v>
      </c>
      <c r="L113" s="131">
        <v>317000</v>
      </c>
      <c r="M113" s="234">
        <v>363000</v>
      </c>
      <c r="N113" s="131"/>
      <c r="O113" s="274">
        <v>0</v>
      </c>
      <c r="P113" s="83">
        <v>0</v>
      </c>
      <c r="Q113" s="83">
        <v>0</v>
      </c>
      <c r="R113" s="139">
        <v>0</v>
      </c>
      <c r="S113" s="83">
        <f>VLOOKUP($A113,'[1]2014'!$B$4:$R$53,14,0)</f>
        <v>0</v>
      </c>
      <c r="T113" s="83">
        <f>VLOOKUP($A113,'[1]2014'!$B$4:$R$53,15,0)</f>
        <v>0</v>
      </c>
      <c r="U113" s="83">
        <f>VLOOKUP($A113,'[1]2014'!$B$4:$R$53,16,0)</f>
        <v>0</v>
      </c>
      <c r="V113" s="139">
        <f>VLOOKUP($A113,'[1]2014'!$B$4:$R$53,17,0)</f>
        <v>0</v>
      </c>
      <c r="AA113" s="232">
        <v>0</v>
      </c>
      <c r="AB113" s="232">
        <v>0</v>
      </c>
      <c r="AC113" s="232">
        <v>0</v>
      </c>
      <c r="AD113" s="232">
        <v>0</v>
      </c>
      <c r="AE113" s="232">
        <v>0</v>
      </c>
      <c r="AG113" s="454">
        <f t="shared" si="2"/>
        <v>0</v>
      </c>
      <c r="AH113" s="454">
        <f t="shared" si="2"/>
        <v>0</v>
      </c>
      <c r="AI113" s="454">
        <f t="shared" si="2"/>
        <v>0</v>
      </c>
      <c r="AJ113" s="454">
        <f t="shared" si="2"/>
        <v>0</v>
      </c>
      <c r="AK113" s="454">
        <f t="shared" si="2"/>
        <v>0</v>
      </c>
    </row>
    <row r="114" spans="1:37" s="232" customFormat="1" ht="14.25" customHeight="1">
      <c r="A114" s="148"/>
      <c r="B114" s="132">
        <v>-7</v>
      </c>
      <c r="C114" s="86"/>
      <c r="D114" s="86"/>
      <c r="E114" s="86"/>
      <c r="F114" s="143"/>
      <c r="G114" s="143"/>
      <c r="H114" s="370" t="s">
        <v>30</v>
      </c>
      <c r="I114" s="147" t="s">
        <v>212</v>
      </c>
      <c r="J114" s="259">
        <f>K113</f>
        <v>41669</v>
      </c>
      <c r="K114" s="147">
        <v>41849</v>
      </c>
      <c r="L114" s="131">
        <v>322000</v>
      </c>
      <c r="M114" s="234">
        <f>L113</f>
        <v>317000</v>
      </c>
      <c r="N114" s="131"/>
      <c r="O114" s="274"/>
      <c r="P114" s="83"/>
      <c r="Q114" s="83"/>
      <c r="R114" s="139"/>
      <c r="S114" s="83"/>
      <c r="T114" s="83"/>
      <c r="U114" s="83"/>
      <c r="V114" s="139"/>
      <c r="AG114" s="454">
        <f t="shared" si="2"/>
        <v>0</v>
      </c>
      <c r="AH114" s="454">
        <f t="shared" si="2"/>
        <v>0</v>
      </c>
      <c r="AI114" s="454">
        <f t="shared" si="2"/>
        <v>0</v>
      </c>
      <c r="AJ114" s="454">
        <f t="shared" si="2"/>
        <v>0</v>
      </c>
      <c r="AK114" s="454">
        <f t="shared" si="2"/>
        <v>0</v>
      </c>
    </row>
    <row r="115" spans="1:37" s="232" customFormat="1" ht="14.25" customHeight="1">
      <c r="A115" s="148"/>
      <c r="B115" s="132">
        <v>-7</v>
      </c>
      <c r="C115" s="86"/>
      <c r="D115" s="86"/>
      <c r="E115" s="86"/>
      <c r="F115" s="143"/>
      <c r="G115" s="143"/>
      <c r="H115" s="370" t="s">
        <v>30</v>
      </c>
      <c r="I115" s="147" t="s">
        <v>212</v>
      </c>
      <c r="J115" s="259">
        <f t="shared" ref="J115:J117" si="5">K114</f>
        <v>41849</v>
      </c>
      <c r="K115" s="147">
        <v>42005</v>
      </c>
      <c r="L115" s="131">
        <v>326000</v>
      </c>
      <c r="M115" s="234">
        <f>L114</f>
        <v>322000</v>
      </c>
      <c r="N115" s="131"/>
      <c r="O115" s="274"/>
      <c r="P115" s="83"/>
      <c r="Q115" s="83"/>
      <c r="R115" s="139"/>
      <c r="S115" s="83"/>
      <c r="T115" s="83"/>
      <c r="U115" s="83"/>
      <c r="V115" s="139"/>
      <c r="AG115" s="454">
        <f t="shared" si="2"/>
        <v>0</v>
      </c>
      <c r="AH115" s="454">
        <f t="shared" si="2"/>
        <v>0</v>
      </c>
      <c r="AI115" s="454">
        <f t="shared" si="2"/>
        <v>0</v>
      </c>
      <c r="AJ115" s="454">
        <f t="shared" si="2"/>
        <v>0</v>
      </c>
      <c r="AK115" s="454">
        <f t="shared" si="2"/>
        <v>0</v>
      </c>
    </row>
    <row r="116" spans="1:37" s="232" customFormat="1" ht="14.25" customHeight="1">
      <c r="A116" s="148"/>
      <c r="B116" s="132">
        <v>-7</v>
      </c>
      <c r="C116" s="86"/>
      <c r="D116" s="86"/>
      <c r="E116" s="86"/>
      <c r="F116" s="143"/>
      <c r="G116" s="143"/>
      <c r="H116" s="370" t="s">
        <v>30</v>
      </c>
      <c r="I116" s="147" t="s">
        <v>212</v>
      </c>
      <c r="J116" s="259">
        <f t="shared" si="5"/>
        <v>42005</v>
      </c>
      <c r="K116" s="147">
        <v>42215</v>
      </c>
      <c r="L116" s="131">
        <v>331000</v>
      </c>
      <c r="M116" s="234">
        <f t="shared" ref="M116:M117" si="6">L115</f>
        <v>326000</v>
      </c>
      <c r="N116" s="131"/>
      <c r="O116" s="274"/>
      <c r="P116" s="83"/>
      <c r="Q116" s="83"/>
      <c r="R116" s="139"/>
      <c r="S116" s="83"/>
      <c r="T116" s="83"/>
      <c r="U116" s="83"/>
      <c r="V116" s="139"/>
      <c r="AG116" s="454">
        <f t="shared" si="2"/>
        <v>0</v>
      </c>
      <c r="AH116" s="454">
        <f t="shared" si="2"/>
        <v>0</v>
      </c>
      <c r="AI116" s="454">
        <f t="shared" si="2"/>
        <v>0</v>
      </c>
      <c r="AJ116" s="454">
        <f t="shared" si="2"/>
        <v>0</v>
      </c>
      <c r="AK116" s="454">
        <f t="shared" si="2"/>
        <v>0</v>
      </c>
    </row>
    <row r="117" spans="1:37" s="232" customFormat="1" ht="14.25" customHeight="1">
      <c r="A117" s="148"/>
      <c r="B117" s="132">
        <v>-7</v>
      </c>
      <c r="C117" s="86"/>
      <c r="D117" s="86"/>
      <c r="E117" s="86"/>
      <c r="F117" s="143"/>
      <c r="G117" s="143"/>
      <c r="H117" s="370" t="s">
        <v>30</v>
      </c>
      <c r="I117" s="147" t="s">
        <v>212</v>
      </c>
      <c r="J117" s="259">
        <f t="shared" si="5"/>
        <v>42215</v>
      </c>
      <c r="K117" s="147">
        <v>42217</v>
      </c>
      <c r="L117" s="131">
        <v>336000</v>
      </c>
      <c r="M117" s="234">
        <f t="shared" si="6"/>
        <v>331000</v>
      </c>
      <c r="N117" s="131"/>
      <c r="O117" s="274"/>
      <c r="P117" s="83"/>
      <c r="Q117" s="83"/>
      <c r="R117" s="139"/>
      <c r="S117" s="83"/>
      <c r="T117" s="83"/>
      <c r="U117" s="83"/>
      <c r="V117" s="139"/>
      <c r="AG117" s="454">
        <f t="shared" si="2"/>
        <v>0</v>
      </c>
      <c r="AH117" s="454">
        <f t="shared" si="2"/>
        <v>0</v>
      </c>
      <c r="AI117" s="454">
        <f t="shared" si="2"/>
        <v>0</v>
      </c>
      <c r="AJ117" s="454">
        <f t="shared" si="2"/>
        <v>0</v>
      </c>
      <c r="AK117" s="454">
        <f t="shared" si="2"/>
        <v>0</v>
      </c>
    </row>
    <row r="118" spans="1:37" s="36" customFormat="1" ht="14.25" customHeight="1">
      <c r="A118" s="154" t="s">
        <v>78</v>
      </c>
      <c r="B118" s="250"/>
      <c r="C118" s="51" t="s">
        <v>53</v>
      </c>
      <c r="D118" s="51"/>
      <c r="E118" s="51">
        <v>1983</v>
      </c>
      <c r="F118" s="52">
        <v>1600</v>
      </c>
      <c r="G118" s="52">
        <v>25000</v>
      </c>
      <c r="H118" s="51" t="s">
        <v>30</v>
      </c>
      <c r="I118" s="51" t="s">
        <v>122</v>
      </c>
      <c r="J118" s="260">
        <v>41555</v>
      </c>
      <c r="K118" s="166">
        <v>41730</v>
      </c>
      <c r="L118" s="58">
        <v>380000</v>
      </c>
      <c r="M118" s="63" t="s">
        <v>42</v>
      </c>
      <c r="N118" s="58"/>
      <c r="O118" s="275">
        <v>53</v>
      </c>
      <c r="P118" s="34">
        <v>91</v>
      </c>
      <c r="Q118" s="34">
        <v>92</v>
      </c>
      <c r="R118" s="142">
        <f>VLOOKUP($A118,'[1]2013'!$B$4:$V$48,21,0)</f>
        <v>17.791666666666668</v>
      </c>
      <c r="S118" s="34">
        <v>0</v>
      </c>
      <c r="T118" s="34">
        <v>0</v>
      </c>
      <c r="U118" s="34">
        <v>0</v>
      </c>
      <c r="V118" s="142">
        <v>0</v>
      </c>
      <c r="AA118" s="36">
        <v>10</v>
      </c>
      <c r="AB118" s="36">
        <v>0</v>
      </c>
      <c r="AC118" s="36">
        <v>0</v>
      </c>
      <c r="AD118" s="36">
        <v>0</v>
      </c>
      <c r="AE118" s="36">
        <v>0</v>
      </c>
      <c r="AG118" s="455">
        <f t="shared" si="2"/>
        <v>7.7916666666666679</v>
      </c>
      <c r="AH118" s="455">
        <f t="shared" si="2"/>
        <v>0</v>
      </c>
      <c r="AI118" s="455">
        <f t="shared" si="2"/>
        <v>0</v>
      </c>
      <c r="AJ118" s="455">
        <f t="shared" si="2"/>
        <v>0</v>
      </c>
      <c r="AK118" s="455">
        <f t="shared" si="2"/>
        <v>0</v>
      </c>
    </row>
    <row r="119" spans="1:37" s="36" customFormat="1" ht="14.25" customHeight="1">
      <c r="A119" s="154"/>
      <c r="B119" s="250"/>
      <c r="C119" s="51"/>
      <c r="D119" s="51"/>
      <c r="E119" s="51"/>
      <c r="F119" s="52"/>
      <c r="G119" s="52"/>
      <c r="H119" s="51" t="s">
        <v>30</v>
      </c>
      <c r="I119" s="51" t="s">
        <v>122</v>
      </c>
      <c r="J119" s="260">
        <f>K118</f>
        <v>41730</v>
      </c>
      <c r="K119" s="166">
        <v>41883</v>
      </c>
      <c r="L119" s="58">
        <v>386000</v>
      </c>
      <c r="M119" s="63">
        <f>L118</f>
        <v>380000</v>
      </c>
      <c r="N119" s="58"/>
      <c r="O119" s="275"/>
      <c r="P119" s="34"/>
      <c r="Q119" s="34"/>
      <c r="R119" s="142"/>
      <c r="S119" s="34"/>
      <c r="T119" s="34"/>
      <c r="U119" s="34"/>
      <c r="V119" s="142"/>
      <c r="AG119" s="455">
        <f t="shared" si="2"/>
        <v>0</v>
      </c>
      <c r="AH119" s="455">
        <f t="shared" si="2"/>
        <v>0</v>
      </c>
      <c r="AI119" s="455">
        <f t="shared" si="2"/>
        <v>0</v>
      </c>
      <c r="AJ119" s="455">
        <f t="shared" si="2"/>
        <v>0</v>
      </c>
      <c r="AK119" s="455">
        <f t="shared" si="2"/>
        <v>0</v>
      </c>
    </row>
    <row r="120" spans="1:37" s="36" customFormat="1" ht="14.25" customHeight="1">
      <c r="A120" s="154"/>
      <c r="B120" s="250"/>
      <c r="C120" s="51"/>
      <c r="D120" s="51"/>
      <c r="E120" s="51"/>
      <c r="F120" s="52"/>
      <c r="G120" s="52"/>
      <c r="H120" s="51" t="s">
        <v>30</v>
      </c>
      <c r="I120" s="51" t="s">
        <v>122</v>
      </c>
      <c r="J120" s="260">
        <f t="shared" ref="J120:J123" si="7">K119</f>
        <v>41883</v>
      </c>
      <c r="K120" s="166">
        <v>42064</v>
      </c>
      <c r="L120" s="58">
        <v>391000</v>
      </c>
      <c r="M120" s="63">
        <f t="shared" ref="M120:M123" si="8">L119</f>
        <v>386000</v>
      </c>
      <c r="N120" s="58"/>
      <c r="O120" s="275"/>
      <c r="P120" s="34"/>
      <c r="Q120" s="34"/>
      <c r="R120" s="142"/>
      <c r="S120" s="34"/>
      <c r="T120" s="34"/>
      <c r="U120" s="34"/>
      <c r="V120" s="142"/>
      <c r="AG120" s="455">
        <f t="shared" si="2"/>
        <v>0</v>
      </c>
      <c r="AH120" s="455">
        <f t="shared" si="2"/>
        <v>0</v>
      </c>
      <c r="AI120" s="455">
        <f t="shared" si="2"/>
        <v>0</v>
      </c>
      <c r="AJ120" s="455">
        <f t="shared" si="2"/>
        <v>0</v>
      </c>
      <c r="AK120" s="455">
        <f t="shared" si="2"/>
        <v>0</v>
      </c>
    </row>
    <row r="121" spans="1:37" s="36" customFormat="1" ht="14.25" customHeight="1">
      <c r="A121" s="154"/>
      <c r="B121" s="250"/>
      <c r="C121" s="51"/>
      <c r="D121" s="51"/>
      <c r="E121" s="51"/>
      <c r="F121" s="52"/>
      <c r="G121" s="52"/>
      <c r="H121" s="51" t="s">
        <v>30</v>
      </c>
      <c r="I121" s="51" t="s">
        <v>122</v>
      </c>
      <c r="J121" s="260">
        <f t="shared" si="7"/>
        <v>42064</v>
      </c>
      <c r="K121" s="166">
        <v>42248</v>
      </c>
      <c r="L121" s="58">
        <v>397000</v>
      </c>
      <c r="M121" s="63">
        <f t="shared" si="8"/>
        <v>391000</v>
      </c>
      <c r="N121" s="58"/>
      <c r="O121" s="275"/>
      <c r="P121" s="34"/>
      <c r="Q121" s="34"/>
      <c r="R121" s="142"/>
      <c r="S121" s="34"/>
      <c r="T121" s="34"/>
      <c r="U121" s="34"/>
      <c r="V121" s="142"/>
      <c r="AG121" s="455">
        <f t="shared" si="2"/>
        <v>0</v>
      </c>
      <c r="AH121" s="455">
        <f t="shared" si="2"/>
        <v>0</v>
      </c>
      <c r="AI121" s="455">
        <f t="shared" si="2"/>
        <v>0</v>
      </c>
      <c r="AJ121" s="455">
        <f t="shared" si="2"/>
        <v>0</v>
      </c>
      <c r="AK121" s="455">
        <f t="shared" si="2"/>
        <v>0</v>
      </c>
    </row>
    <row r="122" spans="1:37" s="36" customFormat="1" ht="14.25" customHeight="1">
      <c r="A122" s="154"/>
      <c r="B122" s="250"/>
      <c r="C122" s="51"/>
      <c r="D122" s="51"/>
      <c r="E122" s="51"/>
      <c r="F122" s="52"/>
      <c r="G122" s="52"/>
      <c r="H122" s="51" t="s">
        <v>30</v>
      </c>
      <c r="I122" s="51" t="s">
        <v>122</v>
      </c>
      <c r="J122" s="260">
        <f t="shared" si="7"/>
        <v>42248</v>
      </c>
      <c r="K122" s="166">
        <v>42430</v>
      </c>
      <c r="L122" s="58">
        <v>403000</v>
      </c>
      <c r="M122" s="63">
        <f t="shared" si="8"/>
        <v>397000</v>
      </c>
      <c r="N122" s="58"/>
      <c r="O122" s="275"/>
      <c r="P122" s="34"/>
      <c r="Q122" s="34"/>
      <c r="R122" s="142"/>
      <c r="S122" s="34"/>
      <c r="T122" s="34"/>
      <c r="U122" s="34"/>
      <c r="V122" s="142"/>
      <c r="AG122" s="455">
        <f t="shared" si="2"/>
        <v>0</v>
      </c>
      <c r="AH122" s="455">
        <f t="shared" si="2"/>
        <v>0</v>
      </c>
      <c r="AI122" s="455">
        <f t="shared" si="2"/>
        <v>0</v>
      </c>
      <c r="AJ122" s="455">
        <f t="shared" si="2"/>
        <v>0</v>
      </c>
      <c r="AK122" s="455">
        <f t="shared" si="2"/>
        <v>0</v>
      </c>
    </row>
    <row r="123" spans="1:37" s="36" customFormat="1" ht="14.25" customHeight="1">
      <c r="A123" s="154"/>
      <c r="B123" s="250"/>
      <c r="C123" s="51"/>
      <c r="D123" s="51"/>
      <c r="E123" s="51"/>
      <c r="F123" s="52"/>
      <c r="G123" s="52"/>
      <c r="H123" s="51" t="s">
        <v>30</v>
      </c>
      <c r="I123" s="51" t="s">
        <v>122</v>
      </c>
      <c r="J123" s="260">
        <f t="shared" si="7"/>
        <v>42430</v>
      </c>
      <c r="K123" s="166">
        <v>42614</v>
      </c>
      <c r="L123" s="58">
        <v>409000</v>
      </c>
      <c r="M123" s="63">
        <f t="shared" si="8"/>
        <v>403000</v>
      </c>
      <c r="N123" s="58"/>
      <c r="O123" s="275"/>
      <c r="P123" s="34"/>
      <c r="Q123" s="34"/>
      <c r="R123" s="142"/>
      <c r="S123" s="34"/>
      <c r="T123" s="34"/>
      <c r="U123" s="34"/>
      <c r="V123" s="142"/>
      <c r="AG123" s="455">
        <f t="shared" si="2"/>
        <v>0</v>
      </c>
      <c r="AH123" s="455">
        <f t="shared" si="2"/>
        <v>0</v>
      </c>
      <c r="AI123" s="455">
        <f t="shared" si="2"/>
        <v>0</v>
      </c>
      <c r="AJ123" s="455">
        <f t="shared" si="2"/>
        <v>0</v>
      </c>
      <c r="AK123" s="455">
        <f t="shared" si="2"/>
        <v>0</v>
      </c>
    </row>
    <row r="124" spans="1:37" s="329" customFormat="1" ht="14.25" customHeight="1">
      <c r="A124" s="151" t="s">
        <v>191</v>
      </c>
      <c r="B124" s="132">
        <v>-7</v>
      </c>
      <c r="C124" s="86" t="s">
        <v>53</v>
      </c>
      <c r="D124" s="86"/>
      <c r="E124" s="86" t="s">
        <v>25</v>
      </c>
      <c r="F124" s="143">
        <v>1600</v>
      </c>
      <c r="G124" s="143">
        <v>25000</v>
      </c>
      <c r="H124" s="86" t="s">
        <v>30</v>
      </c>
      <c r="I124" s="86" t="s">
        <v>36</v>
      </c>
      <c r="J124" s="147">
        <v>41244</v>
      </c>
      <c r="K124" s="147">
        <v>41639</v>
      </c>
      <c r="L124" s="131">
        <v>396000</v>
      </c>
      <c r="M124" s="234">
        <v>398000</v>
      </c>
      <c r="N124" s="131"/>
      <c r="O124" s="274">
        <v>0</v>
      </c>
      <c r="P124" s="83">
        <v>0</v>
      </c>
      <c r="Q124" s="83">
        <v>0</v>
      </c>
      <c r="R124" s="139">
        <f>VLOOKUP($A124,'[1]2013'!$B$4:$V$48,21,0)</f>
        <v>7</v>
      </c>
      <c r="S124" s="83">
        <f>VLOOKUP($A124,'[1]2014'!$B$4:$R$53,14,0)</f>
        <v>90</v>
      </c>
      <c r="T124" s="83">
        <f>VLOOKUP($A124,'[1]2014'!$B$4:$R$53,15,0)</f>
        <v>23</v>
      </c>
      <c r="U124" s="83">
        <f>VLOOKUP($A124,'[1]2014'!$B$4:$R$53,16,0)</f>
        <v>0</v>
      </c>
      <c r="V124" s="139">
        <f>VLOOKUP($A124,'[1]2014'!$B$4:$R$53,17,0)</f>
        <v>0</v>
      </c>
      <c r="AA124" s="329">
        <v>7</v>
      </c>
      <c r="AB124" s="329">
        <v>90</v>
      </c>
      <c r="AC124" s="329">
        <v>23</v>
      </c>
      <c r="AD124" s="329">
        <v>0</v>
      </c>
      <c r="AE124" s="329">
        <v>0</v>
      </c>
      <c r="AG124" s="457">
        <f t="shared" si="2"/>
        <v>0</v>
      </c>
      <c r="AH124" s="457">
        <f t="shared" si="2"/>
        <v>0</v>
      </c>
      <c r="AI124" s="457">
        <f t="shared" si="2"/>
        <v>0</v>
      </c>
      <c r="AJ124" s="457">
        <f t="shared" si="2"/>
        <v>0</v>
      </c>
      <c r="AK124" s="457">
        <f t="shared" si="2"/>
        <v>0</v>
      </c>
    </row>
    <row r="125" spans="1:37" s="329" customFormat="1" ht="14.25" customHeight="1">
      <c r="A125" s="151"/>
      <c r="B125" s="132">
        <v>-7</v>
      </c>
      <c r="C125" s="86"/>
      <c r="D125" s="86"/>
      <c r="E125" s="86"/>
      <c r="F125" s="143"/>
      <c r="G125" s="143"/>
      <c r="H125" s="86" t="s">
        <v>30</v>
      </c>
      <c r="I125" s="86" t="s">
        <v>36</v>
      </c>
      <c r="J125" s="147">
        <v>41730</v>
      </c>
      <c r="K125" s="147">
        <v>42095</v>
      </c>
      <c r="L125" s="131">
        <v>434000</v>
      </c>
      <c r="M125" s="234">
        <f>+L124</f>
        <v>396000</v>
      </c>
      <c r="N125" s="131"/>
      <c r="O125" s="274" t="s">
        <v>51</v>
      </c>
      <c r="P125" s="83" t="s">
        <v>51</v>
      </c>
      <c r="Q125" s="83"/>
      <c r="R125" s="139"/>
      <c r="S125" s="83"/>
      <c r="T125" s="83"/>
      <c r="U125" s="83"/>
      <c r="V125" s="139"/>
      <c r="AG125" s="457">
        <f t="shared" si="2"/>
        <v>0</v>
      </c>
      <c r="AH125" s="457">
        <f t="shared" si="2"/>
        <v>0</v>
      </c>
      <c r="AI125" s="457">
        <f t="shared" si="2"/>
        <v>0</v>
      </c>
      <c r="AJ125" s="457">
        <f t="shared" si="2"/>
        <v>0</v>
      </c>
      <c r="AK125" s="457">
        <f t="shared" si="2"/>
        <v>0</v>
      </c>
    </row>
    <row r="126" spans="1:37" s="329" customFormat="1" ht="14.25" customHeight="1">
      <c r="A126" s="151"/>
      <c r="B126" s="132">
        <v>-7</v>
      </c>
      <c r="C126" s="86"/>
      <c r="D126" s="86"/>
      <c r="E126" s="86"/>
      <c r="F126" s="143"/>
      <c r="G126" s="143"/>
      <c r="H126" s="86" t="s">
        <v>30</v>
      </c>
      <c r="I126" s="86" t="s">
        <v>36</v>
      </c>
      <c r="J126" s="147">
        <f>+K125</f>
        <v>42095</v>
      </c>
      <c r="K126" s="147">
        <v>42278</v>
      </c>
      <c r="L126" s="131">
        <v>441000</v>
      </c>
      <c r="M126" s="234">
        <f>+L125</f>
        <v>434000</v>
      </c>
      <c r="N126" s="131"/>
      <c r="O126" s="274" t="s">
        <v>51</v>
      </c>
      <c r="P126" s="83" t="s">
        <v>51</v>
      </c>
      <c r="Q126" s="83"/>
      <c r="R126" s="139"/>
      <c r="S126" s="83"/>
      <c r="T126" s="83"/>
      <c r="U126" s="83"/>
      <c r="V126" s="139"/>
      <c r="AG126" s="457">
        <f t="shared" si="2"/>
        <v>0</v>
      </c>
      <c r="AH126" s="457">
        <f t="shared" si="2"/>
        <v>0</v>
      </c>
      <c r="AI126" s="457">
        <f t="shared" si="2"/>
        <v>0</v>
      </c>
      <c r="AJ126" s="457">
        <f t="shared" si="2"/>
        <v>0</v>
      </c>
      <c r="AK126" s="457">
        <f t="shared" si="2"/>
        <v>0</v>
      </c>
    </row>
    <row r="127" spans="1:37" s="36" customFormat="1" ht="14.25" customHeight="1">
      <c r="A127" s="144" t="s">
        <v>192</v>
      </c>
      <c r="B127" s="198" t="s">
        <v>220</v>
      </c>
      <c r="C127" s="51" t="s">
        <v>53</v>
      </c>
      <c r="D127" s="51"/>
      <c r="E127" s="51">
        <v>1984</v>
      </c>
      <c r="F127" s="52">
        <v>1500</v>
      </c>
      <c r="G127" s="52">
        <v>25000</v>
      </c>
      <c r="H127" s="51" t="s">
        <v>74</v>
      </c>
      <c r="I127" s="51" t="s">
        <v>12</v>
      </c>
      <c r="J127" s="166">
        <v>41275</v>
      </c>
      <c r="K127" s="166">
        <v>42248</v>
      </c>
      <c r="L127" s="58">
        <v>409000</v>
      </c>
      <c r="M127" s="63">
        <v>297000</v>
      </c>
      <c r="N127" s="58"/>
      <c r="O127" s="275">
        <v>0</v>
      </c>
      <c r="P127" s="34">
        <v>0</v>
      </c>
      <c r="Q127" s="34">
        <v>0</v>
      </c>
      <c r="R127" s="142">
        <f>VLOOKUP($A127,'[1]2013'!$B$4:$V$48,21,0)</f>
        <v>16</v>
      </c>
      <c r="S127" s="34">
        <f>VLOOKUP($A127,'[1]2014'!$B$4:$R$53,14,0)</f>
        <v>90</v>
      </c>
      <c r="T127" s="34">
        <f>VLOOKUP($A127,'[1]2014'!$B$4:$R$53,15,0)</f>
        <v>19</v>
      </c>
      <c r="U127" s="34">
        <f>VLOOKUP($A127,'[1]2014'!$B$4:$R$53,16,0)</f>
        <v>0</v>
      </c>
      <c r="V127" s="142">
        <f>VLOOKUP($A127,'[1]2014'!$B$4:$R$53,17,0)</f>
        <v>0</v>
      </c>
      <c r="W127" s="36" t="s">
        <v>276</v>
      </c>
      <c r="AA127" s="36">
        <v>0</v>
      </c>
      <c r="AB127" s="36">
        <v>71</v>
      </c>
      <c r="AC127" s="36">
        <v>54</v>
      </c>
      <c r="AD127" s="36">
        <v>0</v>
      </c>
      <c r="AE127" s="36">
        <v>0</v>
      </c>
      <c r="AG127" s="455">
        <f t="shared" si="2"/>
        <v>16</v>
      </c>
      <c r="AH127" s="455">
        <f t="shared" si="2"/>
        <v>19</v>
      </c>
      <c r="AI127" s="455">
        <f t="shared" si="2"/>
        <v>-35</v>
      </c>
      <c r="AJ127" s="455">
        <f t="shared" si="2"/>
        <v>0</v>
      </c>
      <c r="AK127" s="455">
        <f t="shared" si="2"/>
        <v>0</v>
      </c>
    </row>
    <row r="128" spans="1:37" s="232" customFormat="1">
      <c r="A128" s="282" t="s">
        <v>193</v>
      </c>
      <c r="B128" s="234"/>
      <c r="C128" s="86" t="s">
        <v>53</v>
      </c>
      <c r="D128" s="86"/>
      <c r="E128" s="86">
        <v>1982</v>
      </c>
      <c r="F128" s="143">
        <v>1500</v>
      </c>
      <c r="G128" s="143">
        <v>25000</v>
      </c>
      <c r="H128" s="86" t="s">
        <v>40</v>
      </c>
      <c r="I128" s="86" t="s">
        <v>41</v>
      </c>
      <c r="J128" s="150">
        <v>41061</v>
      </c>
      <c r="K128" s="150">
        <v>42186</v>
      </c>
      <c r="L128" s="131">
        <v>190000</v>
      </c>
      <c r="M128" s="234">
        <v>222000</v>
      </c>
      <c r="N128" s="131"/>
      <c r="O128" s="274">
        <v>0</v>
      </c>
      <c r="P128" s="83">
        <v>0</v>
      </c>
      <c r="Q128" s="83">
        <v>0</v>
      </c>
      <c r="R128" s="139">
        <v>0</v>
      </c>
      <c r="S128" s="83">
        <f>VLOOKUP($A128,'[1]2014'!$B$4:$R$53,14,0)</f>
        <v>0</v>
      </c>
      <c r="T128" s="83">
        <f>VLOOKUP($A128,'[1]2014'!$B$4:$R$53,15,0)</f>
        <v>0</v>
      </c>
      <c r="U128" s="83">
        <f>VLOOKUP($A128,'[1]2014'!$B$4:$R$53,16,0)</f>
        <v>21</v>
      </c>
      <c r="V128" s="139">
        <f>VLOOKUP($A128,'[1]2014'!$B$4:$R$53,17,0)</f>
        <v>0</v>
      </c>
      <c r="AA128" s="232">
        <v>0</v>
      </c>
      <c r="AB128" s="232">
        <v>0</v>
      </c>
      <c r="AC128" s="232">
        <v>0</v>
      </c>
      <c r="AD128" s="232">
        <v>21</v>
      </c>
      <c r="AE128" s="232">
        <v>0</v>
      </c>
      <c r="AG128" s="454">
        <f t="shared" si="2"/>
        <v>0</v>
      </c>
      <c r="AH128" s="454">
        <f t="shared" si="2"/>
        <v>0</v>
      </c>
      <c r="AI128" s="454">
        <f t="shared" si="2"/>
        <v>0</v>
      </c>
      <c r="AJ128" s="454">
        <f t="shared" si="2"/>
        <v>0</v>
      </c>
      <c r="AK128" s="454">
        <f t="shared" si="2"/>
        <v>0</v>
      </c>
    </row>
    <row r="129" spans="1:37" s="36" customFormat="1" ht="14.25" customHeight="1">
      <c r="A129" s="356" t="s">
        <v>111</v>
      </c>
      <c r="B129" s="194"/>
      <c r="C129" s="51" t="s">
        <v>53</v>
      </c>
      <c r="D129" s="51"/>
      <c r="E129" s="51">
        <v>1983</v>
      </c>
      <c r="F129" s="52">
        <v>1500</v>
      </c>
      <c r="G129" s="52">
        <v>25000</v>
      </c>
      <c r="H129" s="51" t="s">
        <v>46</v>
      </c>
      <c r="I129" s="149"/>
      <c r="J129" s="146"/>
      <c r="K129" s="146" t="s">
        <v>76</v>
      </c>
      <c r="L129" s="58"/>
      <c r="M129" s="63"/>
      <c r="N129" s="58"/>
      <c r="O129" s="275">
        <v>0</v>
      </c>
      <c r="P129" s="34">
        <v>0</v>
      </c>
      <c r="Q129" s="34">
        <v>0</v>
      </c>
      <c r="R129" s="142">
        <v>0</v>
      </c>
      <c r="S129" s="34">
        <v>0</v>
      </c>
      <c r="T129" s="34">
        <v>0</v>
      </c>
      <c r="U129" s="34">
        <v>0</v>
      </c>
      <c r="V129" s="142">
        <v>0</v>
      </c>
      <c r="AA129" s="36">
        <v>0</v>
      </c>
      <c r="AB129" s="36">
        <v>0</v>
      </c>
      <c r="AC129" s="36">
        <v>0</v>
      </c>
      <c r="AD129" s="36">
        <v>0</v>
      </c>
      <c r="AE129" s="36">
        <v>0</v>
      </c>
      <c r="AG129" s="455">
        <f t="shared" si="2"/>
        <v>0</v>
      </c>
      <c r="AH129" s="455">
        <f t="shared" si="2"/>
        <v>0</v>
      </c>
      <c r="AI129" s="455">
        <f t="shared" si="2"/>
        <v>0</v>
      </c>
      <c r="AJ129" s="455">
        <f t="shared" si="2"/>
        <v>0</v>
      </c>
      <c r="AK129" s="455">
        <f t="shared" si="2"/>
        <v>0</v>
      </c>
    </row>
    <row r="130" spans="1:37" s="232" customFormat="1">
      <c r="A130" s="282" t="s">
        <v>17</v>
      </c>
      <c r="B130" s="132">
        <v>-7</v>
      </c>
      <c r="C130" s="86" t="s">
        <v>53</v>
      </c>
      <c r="D130" s="86"/>
      <c r="E130" s="86" t="s">
        <v>26</v>
      </c>
      <c r="F130" s="143">
        <v>1500</v>
      </c>
      <c r="G130" s="143">
        <v>25000</v>
      </c>
      <c r="H130" s="86" t="s">
        <v>34</v>
      </c>
      <c r="I130" s="86" t="s">
        <v>129</v>
      </c>
      <c r="J130" s="150">
        <v>41153</v>
      </c>
      <c r="K130" s="150">
        <v>41998</v>
      </c>
      <c r="L130" s="131">
        <v>311000</v>
      </c>
      <c r="M130" s="234">
        <v>275000</v>
      </c>
      <c r="N130" s="131"/>
      <c r="O130" s="274">
        <v>0</v>
      </c>
      <c r="P130" s="83">
        <v>0</v>
      </c>
      <c r="Q130" s="83">
        <v>0</v>
      </c>
      <c r="R130" s="139">
        <v>0</v>
      </c>
      <c r="S130" s="274">
        <f>VLOOKUP($A130,'[1]2014'!$B$4:$R$53,14,0)</f>
        <v>35</v>
      </c>
      <c r="T130" s="83">
        <f>VLOOKUP($A130,'[1]2014'!$B$4:$R$53,15,0)</f>
        <v>0</v>
      </c>
      <c r="U130" s="83">
        <f>VLOOKUP($A130,'[1]2014'!$B$4:$R$53,16,0)</f>
        <v>0</v>
      </c>
      <c r="V130" s="139">
        <f>VLOOKUP($A130,'[1]2014'!$B$4:$R$53,17,0)</f>
        <v>0</v>
      </c>
      <c r="AA130" s="232">
        <v>0</v>
      </c>
      <c r="AB130" s="232">
        <v>35</v>
      </c>
      <c r="AC130" s="232">
        <v>0</v>
      </c>
      <c r="AD130" s="232">
        <v>0</v>
      </c>
      <c r="AE130" s="232">
        <v>0</v>
      </c>
      <c r="AG130" s="454">
        <f t="shared" si="2"/>
        <v>0</v>
      </c>
      <c r="AH130" s="454">
        <f t="shared" si="2"/>
        <v>0</v>
      </c>
      <c r="AI130" s="454">
        <f t="shared" si="2"/>
        <v>0</v>
      </c>
      <c r="AJ130" s="454">
        <f t="shared" si="2"/>
        <v>0</v>
      </c>
      <c r="AK130" s="454">
        <f t="shared" si="2"/>
        <v>0</v>
      </c>
    </row>
    <row r="131" spans="1:37" s="36" customFormat="1" ht="14.25" customHeight="1">
      <c r="A131" s="154" t="s">
        <v>194</v>
      </c>
      <c r="B131" s="250" t="s">
        <v>145</v>
      </c>
      <c r="C131" s="51" t="s">
        <v>53</v>
      </c>
      <c r="D131" s="51"/>
      <c r="E131" s="51">
        <v>1983</v>
      </c>
      <c r="F131" s="52">
        <v>1500</v>
      </c>
      <c r="G131" s="52">
        <v>25000</v>
      </c>
      <c r="H131" s="51" t="s">
        <v>32</v>
      </c>
      <c r="I131" s="51" t="s">
        <v>120</v>
      </c>
      <c r="J131" s="166">
        <v>41275</v>
      </c>
      <c r="K131" s="166">
        <v>42005</v>
      </c>
      <c r="L131" s="58">
        <v>453000</v>
      </c>
      <c r="M131" s="63">
        <v>495000</v>
      </c>
      <c r="N131" s="58"/>
      <c r="O131" s="275">
        <v>0</v>
      </c>
      <c r="P131" s="34">
        <v>0</v>
      </c>
      <c r="Q131" s="34">
        <v>0</v>
      </c>
      <c r="R131" s="142">
        <v>0</v>
      </c>
      <c r="S131" s="34">
        <v>0</v>
      </c>
      <c r="T131" s="34">
        <v>0</v>
      </c>
      <c r="U131" s="34">
        <v>0</v>
      </c>
      <c r="V131" s="142">
        <v>0</v>
      </c>
      <c r="AA131" s="36">
        <v>0</v>
      </c>
      <c r="AB131" s="36">
        <v>0</v>
      </c>
      <c r="AC131" s="36">
        <v>0</v>
      </c>
      <c r="AD131" s="36">
        <v>0</v>
      </c>
      <c r="AE131" s="36">
        <v>0</v>
      </c>
      <c r="AG131" s="455">
        <f t="shared" si="2"/>
        <v>0</v>
      </c>
      <c r="AH131" s="455">
        <f t="shared" si="2"/>
        <v>0</v>
      </c>
      <c r="AI131" s="455">
        <f t="shared" si="2"/>
        <v>0</v>
      </c>
      <c r="AJ131" s="455">
        <f t="shared" si="2"/>
        <v>0</v>
      </c>
      <c r="AK131" s="455">
        <f t="shared" si="2"/>
        <v>0</v>
      </c>
    </row>
    <row r="132" spans="1:37" s="36" customFormat="1" ht="14.25" customHeight="1">
      <c r="A132" s="154"/>
      <c r="B132" s="250" t="s">
        <v>145</v>
      </c>
      <c r="C132" s="51"/>
      <c r="D132" s="51"/>
      <c r="E132" s="51"/>
      <c r="F132" s="52"/>
      <c r="G132" s="52"/>
      <c r="H132" s="51" t="s">
        <v>32</v>
      </c>
      <c r="I132" s="51" t="s">
        <v>120</v>
      </c>
      <c r="J132" s="166">
        <f>+K131</f>
        <v>42005</v>
      </c>
      <c r="K132" s="166">
        <v>42552</v>
      </c>
      <c r="L132" s="58">
        <v>499000</v>
      </c>
      <c r="M132" s="63">
        <f>+L131</f>
        <v>453000</v>
      </c>
      <c r="N132" s="58"/>
      <c r="O132" s="275"/>
      <c r="P132" s="34"/>
      <c r="Q132" s="34"/>
      <c r="R132" s="142"/>
      <c r="S132" s="34"/>
      <c r="T132" s="34"/>
      <c r="U132" s="34"/>
      <c r="V132" s="142"/>
      <c r="AG132" s="455">
        <f t="shared" si="2"/>
        <v>0</v>
      </c>
      <c r="AH132" s="455">
        <f t="shared" si="2"/>
        <v>0</v>
      </c>
      <c r="AI132" s="455">
        <f t="shared" si="2"/>
        <v>0</v>
      </c>
      <c r="AJ132" s="455">
        <f t="shared" si="2"/>
        <v>0</v>
      </c>
      <c r="AK132" s="455">
        <f t="shared" si="2"/>
        <v>0</v>
      </c>
    </row>
    <row r="133" spans="1:37" s="232" customFormat="1" ht="14.25" customHeight="1">
      <c r="A133" s="412" t="s">
        <v>195</v>
      </c>
      <c r="B133" s="371" t="s">
        <v>145</v>
      </c>
      <c r="C133" s="86" t="s">
        <v>53</v>
      </c>
      <c r="D133" s="86"/>
      <c r="E133" s="86" t="s">
        <v>21</v>
      </c>
      <c r="F133" s="143">
        <v>1500</v>
      </c>
      <c r="G133" s="143">
        <v>25000</v>
      </c>
      <c r="H133" s="86" t="s">
        <v>32</v>
      </c>
      <c r="I133" s="86" t="s">
        <v>110</v>
      </c>
      <c r="J133" s="147">
        <v>41061</v>
      </c>
      <c r="K133" s="147">
        <v>42125</v>
      </c>
      <c r="L133" s="131">
        <v>397000</v>
      </c>
      <c r="M133" s="234">
        <v>447000</v>
      </c>
      <c r="N133" s="131"/>
      <c r="O133" s="274">
        <v>15</v>
      </c>
      <c r="P133" s="83">
        <v>76</v>
      </c>
      <c r="Q133" s="83">
        <v>0</v>
      </c>
      <c r="R133" s="139">
        <f>VLOOKUP($A133,'[1]2013'!$B$4:$V$48,21,0)</f>
        <v>0</v>
      </c>
      <c r="S133" s="83">
        <v>0</v>
      </c>
      <c r="T133" s="83">
        <v>0</v>
      </c>
      <c r="U133" s="83">
        <v>0</v>
      </c>
      <c r="V133" s="139">
        <v>0</v>
      </c>
      <c r="AA133" s="232">
        <v>0</v>
      </c>
      <c r="AB133" s="232">
        <v>0</v>
      </c>
      <c r="AC133" s="232">
        <v>0</v>
      </c>
      <c r="AD133" s="232">
        <v>0</v>
      </c>
      <c r="AE133" s="232">
        <v>0</v>
      </c>
      <c r="AG133" s="454">
        <f t="shared" si="2"/>
        <v>0</v>
      </c>
      <c r="AH133" s="454">
        <f t="shared" si="2"/>
        <v>0</v>
      </c>
      <c r="AI133" s="454">
        <f t="shared" si="2"/>
        <v>0</v>
      </c>
      <c r="AJ133" s="454">
        <f t="shared" si="2"/>
        <v>0</v>
      </c>
      <c r="AK133" s="454">
        <f t="shared" si="2"/>
        <v>0</v>
      </c>
    </row>
    <row r="134" spans="1:37" s="36" customFormat="1" ht="14.25" customHeight="1">
      <c r="A134" s="192" t="s">
        <v>196</v>
      </c>
      <c r="B134" s="250">
        <v>-7</v>
      </c>
      <c r="C134" s="51" t="s">
        <v>53</v>
      </c>
      <c r="D134" s="51"/>
      <c r="E134" s="51" t="s">
        <v>22</v>
      </c>
      <c r="F134" s="52">
        <v>1500</v>
      </c>
      <c r="G134" s="52">
        <v>25000</v>
      </c>
      <c r="H134" s="51" t="s">
        <v>30</v>
      </c>
      <c r="I134" s="51" t="s">
        <v>58</v>
      </c>
      <c r="J134" s="146">
        <v>41487</v>
      </c>
      <c r="K134" s="146">
        <v>41671</v>
      </c>
      <c r="L134" s="58">
        <v>426000</v>
      </c>
      <c r="M134" s="63">
        <v>252000</v>
      </c>
      <c r="N134" s="58"/>
      <c r="O134" s="275">
        <v>0</v>
      </c>
      <c r="P134" s="34">
        <v>0</v>
      </c>
      <c r="Q134" s="34">
        <v>0</v>
      </c>
      <c r="R134" s="142">
        <v>0</v>
      </c>
      <c r="S134" s="34">
        <v>0</v>
      </c>
      <c r="T134" s="34">
        <v>0</v>
      </c>
      <c r="U134" s="34">
        <v>0</v>
      </c>
      <c r="V134" s="142">
        <v>0</v>
      </c>
      <c r="AA134" s="36">
        <v>0</v>
      </c>
      <c r="AB134" s="36">
        <v>0</v>
      </c>
      <c r="AC134" s="36">
        <v>0</v>
      </c>
      <c r="AD134" s="36">
        <v>0</v>
      </c>
      <c r="AE134" s="36">
        <v>0</v>
      </c>
      <c r="AG134" s="455">
        <f t="shared" si="2"/>
        <v>0</v>
      </c>
      <c r="AH134" s="455">
        <f t="shared" si="2"/>
        <v>0</v>
      </c>
      <c r="AI134" s="455">
        <f t="shared" si="2"/>
        <v>0</v>
      </c>
      <c r="AJ134" s="455">
        <f t="shared" si="2"/>
        <v>0</v>
      </c>
      <c r="AK134" s="455">
        <f t="shared" si="2"/>
        <v>0</v>
      </c>
    </row>
    <row r="135" spans="1:37" s="36" customFormat="1" ht="14.25" customHeight="1">
      <c r="A135" s="192"/>
      <c r="B135" s="250">
        <v>-7</v>
      </c>
      <c r="C135" s="51"/>
      <c r="D135" s="51"/>
      <c r="E135" s="51"/>
      <c r="F135" s="52"/>
      <c r="G135" s="52"/>
      <c r="H135" s="51" t="s">
        <v>30</v>
      </c>
      <c r="I135" s="51" t="s">
        <v>118</v>
      </c>
      <c r="J135" s="146">
        <v>41671</v>
      </c>
      <c r="K135" s="146">
        <v>41852</v>
      </c>
      <c r="L135" s="58">
        <v>407000</v>
      </c>
      <c r="M135" s="63">
        <v>426000</v>
      </c>
      <c r="N135" s="58"/>
      <c r="O135" s="275" t="s">
        <v>51</v>
      </c>
      <c r="P135" s="34" t="s">
        <v>51</v>
      </c>
      <c r="Q135" s="34"/>
      <c r="R135" s="142"/>
      <c r="S135" s="34"/>
      <c r="T135" s="34"/>
      <c r="U135" s="34"/>
      <c r="V135" s="142"/>
      <c r="AG135" s="455">
        <f t="shared" ref="AG135:AK164" si="9">R135-AA135</f>
        <v>0</v>
      </c>
      <c r="AH135" s="455">
        <f t="shared" si="9"/>
        <v>0</v>
      </c>
      <c r="AI135" s="455">
        <f t="shared" si="9"/>
        <v>0</v>
      </c>
      <c r="AJ135" s="455">
        <f t="shared" si="9"/>
        <v>0</v>
      </c>
      <c r="AK135" s="455">
        <f t="shared" si="9"/>
        <v>0</v>
      </c>
    </row>
    <row r="136" spans="1:37" s="36" customFormat="1" ht="14.25" customHeight="1">
      <c r="A136" s="192"/>
      <c r="B136" s="250">
        <v>-7</v>
      </c>
      <c r="C136" s="51"/>
      <c r="D136" s="51"/>
      <c r="E136" s="51"/>
      <c r="F136" s="52"/>
      <c r="G136" s="52"/>
      <c r="H136" s="51" t="s">
        <v>30</v>
      </c>
      <c r="I136" s="51" t="s">
        <v>118</v>
      </c>
      <c r="J136" s="146">
        <f>+K135</f>
        <v>41852</v>
      </c>
      <c r="K136" s="146">
        <v>41944</v>
      </c>
      <c r="L136" s="58">
        <v>413000</v>
      </c>
      <c r="M136" s="63">
        <f>+L135</f>
        <v>407000</v>
      </c>
      <c r="N136" s="58"/>
      <c r="O136" s="275" t="s">
        <v>51</v>
      </c>
      <c r="P136" s="34" t="s">
        <v>51</v>
      </c>
      <c r="Q136" s="34"/>
      <c r="R136" s="142"/>
      <c r="S136" s="34"/>
      <c r="T136" s="34"/>
      <c r="U136" s="34"/>
      <c r="V136" s="142"/>
      <c r="AG136" s="455">
        <f t="shared" si="9"/>
        <v>0</v>
      </c>
      <c r="AH136" s="455">
        <f t="shared" si="9"/>
        <v>0</v>
      </c>
      <c r="AI136" s="455">
        <f t="shared" si="9"/>
        <v>0</v>
      </c>
      <c r="AJ136" s="455">
        <f t="shared" si="9"/>
        <v>0</v>
      </c>
      <c r="AK136" s="455">
        <f t="shared" si="9"/>
        <v>0</v>
      </c>
    </row>
    <row r="137" spans="1:37" s="36" customFormat="1" ht="14.25" customHeight="1">
      <c r="A137" s="192"/>
      <c r="B137" s="63">
        <v>-7</v>
      </c>
      <c r="C137" s="51"/>
      <c r="D137" s="51"/>
      <c r="E137" s="51"/>
      <c r="F137" s="52"/>
      <c r="G137" s="52"/>
      <c r="H137" s="51" t="s">
        <v>30</v>
      </c>
      <c r="I137" s="51" t="s">
        <v>118</v>
      </c>
      <c r="J137" s="146">
        <v>41944</v>
      </c>
      <c r="K137" s="146">
        <v>42036</v>
      </c>
      <c r="L137" s="58">
        <v>383000</v>
      </c>
      <c r="M137" s="63">
        <f>+L136</f>
        <v>413000</v>
      </c>
      <c r="N137" s="58"/>
      <c r="O137" s="275" t="s">
        <v>51</v>
      </c>
      <c r="P137" s="34" t="s">
        <v>51</v>
      </c>
      <c r="Q137" s="34"/>
      <c r="R137" s="142"/>
      <c r="S137" s="34"/>
      <c r="T137" s="34"/>
      <c r="U137" s="34"/>
      <c r="V137" s="142"/>
      <c r="AG137" s="455">
        <f t="shared" si="9"/>
        <v>0</v>
      </c>
      <c r="AH137" s="455">
        <f t="shared" si="9"/>
        <v>0</v>
      </c>
      <c r="AI137" s="455">
        <f t="shared" si="9"/>
        <v>0</v>
      </c>
      <c r="AJ137" s="455">
        <f t="shared" si="9"/>
        <v>0</v>
      </c>
      <c r="AK137" s="455">
        <f t="shared" si="9"/>
        <v>0</v>
      </c>
    </row>
    <row r="138" spans="1:37" s="329" customFormat="1" ht="14.25" customHeight="1">
      <c r="A138" s="282" t="s">
        <v>112</v>
      </c>
      <c r="B138" s="234"/>
      <c r="C138" s="86" t="s">
        <v>53</v>
      </c>
      <c r="D138" s="86"/>
      <c r="E138" s="86" t="s">
        <v>50</v>
      </c>
      <c r="F138" s="143">
        <v>1250</v>
      </c>
      <c r="G138" s="143">
        <v>25000</v>
      </c>
      <c r="H138" s="86" t="s">
        <v>30</v>
      </c>
      <c r="I138" s="86"/>
      <c r="J138" s="147"/>
      <c r="K138" s="147" t="s">
        <v>76</v>
      </c>
      <c r="L138" s="131"/>
      <c r="M138" s="234"/>
      <c r="N138" s="131"/>
      <c r="O138" s="274">
        <v>0</v>
      </c>
      <c r="P138" s="83">
        <v>0</v>
      </c>
      <c r="Q138" s="83">
        <v>0</v>
      </c>
      <c r="R138" s="139">
        <v>0</v>
      </c>
      <c r="S138" s="83">
        <v>0</v>
      </c>
      <c r="T138" s="83">
        <v>0</v>
      </c>
      <c r="U138" s="83">
        <v>0</v>
      </c>
      <c r="V138" s="139">
        <v>0</v>
      </c>
      <c r="AA138" s="329">
        <v>0</v>
      </c>
      <c r="AB138" s="329">
        <v>0</v>
      </c>
      <c r="AC138" s="329">
        <v>0</v>
      </c>
      <c r="AD138" s="329">
        <v>0</v>
      </c>
      <c r="AE138" s="329">
        <v>0</v>
      </c>
      <c r="AG138" s="457">
        <f t="shared" si="9"/>
        <v>0</v>
      </c>
      <c r="AH138" s="457">
        <f t="shared" si="9"/>
        <v>0</v>
      </c>
      <c r="AI138" s="457">
        <f t="shared" si="9"/>
        <v>0</v>
      </c>
      <c r="AJ138" s="457">
        <f t="shared" si="9"/>
        <v>0</v>
      </c>
      <c r="AK138" s="457">
        <f t="shared" si="9"/>
        <v>0</v>
      </c>
    </row>
    <row r="139" spans="1:37" s="36" customFormat="1" ht="14.25" customHeight="1">
      <c r="A139" s="178" t="s">
        <v>204</v>
      </c>
      <c r="B139" s="330" t="s">
        <v>237</v>
      </c>
      <c r="C139" s="182" t="s">
        <v>53</v>
      </c>
      <c r="D139" s="182"/>
      <c r="E139" s="182" t="s">
        <v>27</v>
      </c>
      <c r="F139" s="183">
        <v>1000</v>
      </c>
      <c r="G139" s="183">
        <v>25000</v>
      </c>
      <c r="H139" s="182" t="s">
        <v>30</v>
      </c>
      <c r="I139" s="182" t="s">
        <v>206</v>
      </c>
      <c r="J139" s="316">
        <v>41426</v>
      </c>
      <c r="K139" s="316">
        <v>42430</v>
      </c>
      <c r="L139" s="134">
        <v>378000</v>
      </c>
      <c r="M139" s="332">
        <v>335000</v>
      </c>
      <c r="O139" s="277">
        <v>49.666666666666671</v>
      </c>
      <c r="P139" s="55">
        <v>91</v>
      </c>
      <c r="Q139" s="55">
        <v>9.5833333333333339</v>
      </c>
      <c r="R139" s="155">
        <f>VLOOKUP($A139,'[1]2013'!$B$4:$V$48,21,0)</f>
        <v>83.979166666666671</v>
      </c>
      <c r="S139" s="55">
        <f>VLOOKUP($A139,'[1]2014'!$B$4:$R$53,14,0)</f>
        <v>4</v>
      </c>
      <c r="T139" s="55">
        <f>VLOOKUP($A139,'[1]2014'!$B$4:$R$53,15,0)</f>
        <v>0</v>
      </c>
      <c r="U139" s="55">
        <f>VLOOKUP($A139,'[1]2014'!$B$4:$R$53,16,0)</f>
        <v>0</v>
      </c>
      <c r="V139" s="155">
        <f>VLOOKUP($A139,'[1]2014'!$B$4:$R$53,17,0)</f>
        <v>0</v>
      </c>
      <c r="AA139" s="36">
        <v>86</v>
      </c>
      <c r="AB139" s="36">
        <v>2</v>
      </c>
      <c r="AC139" s="36">
        <v>0</v>
      </c>
      <c r="AD139" s="36">
        <v>0</v>
      </c>
      <c r="AE139" s="36">
        <v>0</v>
      </c>
      <c r="AG139" s="455">
        <f t="shared" si="9"/>
        <v>-2.0208333333333286</v>
      </c>
      <c r="AH139" s="455">
        <f t="shared" si="9"/>
        <v>2</v>
      </c>
      <c r="AI139" s="455">
        <f t="shared" si="9"/>
        <v>0</v>
      </c>
      <c r="AJ139" s="455">
        <f t="shared" si="9"/>
        <v>0</v>
      </c>
      <c r="AK139" s="455">
        <f t="shared" si="9"/>
        <v>0</v>
      </c>
    </row>
    <row r="140" spans="1:37" s="36" customFormat="1" ht="6" customHeight="1">
      <c r="A140" s="53"/>
      <c r="B140" s="185"/>
      <c r="C140" s="53"/>
      <c r="J140" s="335"/>
      <c r="K140" s="335"/>
      <c r="L140" s="236"/>
      <c r="M140" s="263"/>
      <c r="O140" s="186"/>
      <c r="P140" s="186"/>
      <c r="Q140" s="186"/>
      <c r="R140" s="186"/>
      <c r="S140" s="54"/>
      <c r="T140" s="54"/>
      <c r="U140" s="54"/>
      <c r="V140" s="54"/>
      <c r="AG140" s="455">
        <f t="shared" si="9"/>
        <v>0</v>
      </c>
      <c r="AH140" s="455">
        <f t="shared" si="9"/>
        <v>0</v>
      </c>
      <c r="AI140" s="455">
        <f t="shared" si="9"/>
        <v>0</v>
      </c>
      <c r="AJ140" s="455">
        <f t="shared" si="9"/>
        <v>0</v>
      </c>
      <c r="AK140" s="455">
        <f t="shared" si="9"/>
        <v>0</v>
      </c>
    </row>
    <row r="141" spans="1:37" s="36" customFormat="1" ht="15.75" customHeight="1">
      <c r="A141" s="201" t="s">
        <v>83</v>
      </c>
      <c r="B141" s="207"/>
      <c r="C141" s="203"/>
      <c r="D141" s="204"/>
      <c r="E141" s="205"/>
      <c r="F141" s="204"/>
      <c r="G141" s="204"/>
      <c r="H141" s="204"/>
      <c r="I141" s="204"/>
      <c r="J141" s="257"/>
      <c r="K141" s="257"/>
      <c r="L141" s="264"/>
      <c r="M141" s="265"/>
      <c r="N141" s="255"/>
      <c r="O141" s="272"/>
      <c r="P141" s="239"/>
      <c r="Q141" s="239"/>
      <c r="R141" s="237"/>
      <c r="S141" s="272"/>
      <c r="T141" s="239"/>
      <c r="U141" s="239"/>
      <c r="V141" s="237"/>
      <c r="AG141" s="455">
        <f t="shared" si="9"/>
        <v>0</v>
      </c>
      <c r="AH141" s="455">
        <f t="shared" si="9"/>
        <v>0</v>
      </c>
      <c r="AI141" s="455">
        <f t="shared" si="9"/>
        <v>0</v>
      </c>
      <c r="AJ141" s="455">
        <f t="shared" si="9"/>
        <v>0</v>
      </c>
      <c r="AK141" s="455">
        <f t="shared" si="9"/>
        <v>0</v>
      </c>
    </row>
    <row r="142" spans="1:37" s="36" customFormat="1" ht="6" customHeight="1">
      <c r="A142" s="167"/>
      <c r="B142" s="198"/>
      <c r="C142" s="168"/>
      <c r="D142" s="168"/>
      <c r="E142" s="169"/>
      <c r="F142" s="170"/>
      <c r="G142" s="170"/>
      <c r="H142" s="165"/>
      <c r="I142" s="166"/>
      <c r="J142" s="166"/>
      <c r="K142" s="166"/>
      <c r="L142" s="171"/>
      <c r="M142" s="248"/>
      <c r="N142" s="171"/>
      <c r="O142" s="38">
        <v>0</v>
      </c>
      <c r="P142" s="39">
        <v>0</v>
      </c>
      <c r="Q142" s="39">
        <v>0</v>
      </c>
      <c r="R142" s="181"/>
      <c r="S142" s="54"/>
      <c r="T142" s="54"/>
      <c r="U142" s="54"/>
      <c r="V142" s="162"/>
      <c r="AA142" s="36">
        <v>0</v>
      </c>
      <c r="AB142" s="36">
        <v>0</v>
      </c>
      <c r="AC142" s="36">
        <v>0</v>
      </c>
      <c r="AD142" s="36">
        <v>0</v>
      </c>
      <c r="AE142" s="36">
        <v>0</v>
      </c>
      <c r="AG142" s="455">
        <f t="shared" si="9"/>
        <v>0</v>
      </c>
      <c r="AH142" s="455">
        <f t="shared" si="9"/>
        <v>0</v>
      </c>
      <c r="AI142" s="455">
        <f t="shared" si="9"/>
        <v>0</v>
      </c>
      <c r="AJ142" s="455">
        <f t="shared" si="9"/>
        <v>0</v>
      </c>
      <c r="AK142" s="455">
        <f t="shared" si="9"/>
        <v>0</v>
      </c>
    </row>
    <row r="143" spans="1:37" s="232" customFormat="1" ht="14.25" customHeight="1">
      <c r="A143" s="366" t="s">
        <v>197</v>
      </c>
      <c r="B143" s="132">
        <v>-6</v>
      </c>
      <c r="C143" s="233"/>
      <c r="D143" s="233"/>
      <c r="E143" s="172">
        <v>2003</v>
      </c>
      <c r="F143" s="173">
        <v>400</v>
      </c>
      <c r="G143" s="173">
        <v>30000</v>
      </c>
      <c r="H143" s="174" t="s">
        <v>37</v>
      </c>
      <c r="I143" s="150" t="s">
        <v>36</v>
      </c>
      <c r="J143" s="150">
        <v>41153</v>
      </c>
      <c r="K143" s="150">
        <v>42370</v>
      </c>
      <c r="L143" s="131">
        <v>150000</v>
      </c>
      <c r="M143" s="234">
        <v>140000</v>
      </c>
      <c r="N143" s="131"/>
      <c r="O143" s="274">
        <v>35</v>
      </c>
      <c r="P143" s="83">
        <v>0</v>
      </c>
      <c r="Q143" s="83">
        <v>0</v>
      </c>
      <c r="R143" s="139">
        <f>VLOOKUP($A143,'[1]2013'!$B$4:$V$48,21,0)</f>
        <v>0</v>
      </c>
      <c r="S143" s="83">
        <f>VLOOKUP($A143,'[1]2014'!$B$4:$R$53,14,0)</f>
        <v>7</v>
      </c>
      <c r="T143" s="83">
        <f>VLOOKUP($A143,'[1]2014'!$B$4:$R$53,15,0)</f>
        <v>0</v>
      </c>
      <c r="U143" s="83">
        <f>VLOOKUP($A143,'[1]2014'!$B$4:$R$53,16,0)</f>
        <v>0</v>
      </c>
      <c r="V143" s="139">
        <f>VLOOKUP($A143,'[1]2014'!$B$4:$R$53,17,0)</f>
        <v>0</v>
      </c>
      <c r="AA143" s="232">
        <v>0</v>
      </c>
      <c r="AB143" s="232">
        <v>7</v>
      </c>
      <c r="AC143" s="232">
        <v>0</v>
      </c>
      <c r="AD143" s="232">
        <v>0</v>
      </c>
      <c r="AE143" s="232">
        <v>0</v>
      </c>
      <c r="AG143" s="454">
        <f t="shared" si="9"/>
        <v>0</v>
      </c>
      <c r="AH143" s="454">
        <f t="shared" si="9"/>
        <v>0</v>
      </c>
      <c r="AI143" s="454">
        <f t="shared" si="9"/>
        <v>0</v>
      </c>
      <c r="AJ143" s="454">
        <f t="shared" si="9"/>
        <v>0</v>
      </c>
      <c r="AK143" s="454">
        <f t="shared" si="9"/>
        <v>0</v>
      </c>
    </row>
    <row r="144" spans="1:37" s="36" customFormat="1">
      <c r="A144" s="167" t="s">
        <v>198</v>
      </c>
      <c r="B144" s="198">
        <v>-6</v>
      </c>
      <c r="C144" s="168"/>
      <c r="D144" s="168"/>
      <c r="E144" s="169">
        <v>2004</v>
      </c>
      <c r="F144" s="170">
        <v>400</v>
      </c>
      <c r="G144" s="170">
        <v>30000</v>
      </c>
      <c r="H144" s="165" t="s">
        <v>9</v>
      </c>
      <c r="I144" s="165" t="s">
        <v>36</v>
      </c>
      <c r="J144" s="166">
        <v>41183</v>
      </c>
      <c r="K144" s="166">
        <v>42186</v>
      </c>
      <c r="L144" s="58">
        <v>162000</v>
      </c>
      <c r="M144" s="63">
        <v>109000</v>
      </c>
      <c r="N144" s="58"/>
      <c r="O144" s="275">
        <v>19.25</v>
      </c>
      <c r="P144" s="34">
        <v>0</v>
      </c>
      <c r="Q144" s="34">
        <v>0</v>
      </c>
      <c r="R144" s="142">
        <f>VLOOKUP($A144,'[1]2013'!$B$4:$V$48,21,0)</f>
        <v>0</v>
      </c>
      <c r="S144" s="34">
        <f>VLOOKUP($A144,'[1]2014'!$B$4:$R$53,14,0)</f>
        <v>0</v>
      </c>
      <c r="T144" s="34">
        <f>VLOOKUP($A144,'[1]2014'!$B$4:$R$53,15,0)</f>
        <v>0</v>
      </c>
      <c r="U144" s="34">
        <f>VLOOKUP($A144,'[1]2014'!$B$4:$R$53,16,0)</f>
        <v>0</v>
      </c>
      <c r="V144" s="142">
        <f>VLOOKUP($A144,'[1]2014'!$B$4:$R$53,17,0)</f>
        <v>0</v>
      </c>
      <c r="AA144" s="36">
        <v>6</v>
      </c>
      <c r="AB144" s="36">
        <v>0</v>
      </c>
      <c r="AC144" s="36">
        <v>0</v>
      </c>
      <c r="AD144" s="36">
        <v>0</v>
      </c>
      <c r="AE144" s="36">
        <v>0</v>
      </c>
      <c r="AG144" s="455">
        <f t="shared" si="9"/>
        <v>-6</v>
      </c>
      <c r="AH144" s="455">
        <f t="shared" si="9"/>
        <v>0</v>
      </c>
      <c r="AI144" s="455">
        <f t="shared" si="9"/>
        <v>0</v>
      </c>
      <c r="AJ144" s="455">
        <f t="shared" si="9"/>
        <v>0</v>
      </c>
      <c r="AK144" s="455">
        <f t="shared" si="9"/>
        <v>0</v>
      </c>
    </row>
    <row r="145" spans="1:37" s="232" customFormat="1" ht="14.25" customHeight="1">
      <c r="A145" s="366" t="s">
        <v>72</v>
      </c>
      <c r="B145" s="132">
        <v>-7</v>
      </c>
      <c r="C145" s="233"/>
      <c r="D145" s="233"/>
      <c r="E145" s="372" t="s">
        <v>73</v>
      </c>
      <c r="F145" s="173">
        <v>400</v>
      </c>
      <c r="G145" s="173">
        <v>30000</v>
      </c>
      <c r="H145" s="174" t="s">
        <v>30</v>
      </c>
      <c r="I145" s="174" t="s">
        <v>36</v>
      </c>
      <c r="J145" s="150">
        <v>41633</v>
      </c>
      <c r="K145" s="150">
        <v>41791</v>
      </c>
      <c r="L145" s="131">
        <v>218000</v>
      </c>
      <c r="M145" s="234">
        <v>133000</v>
      </c>
      <c r="N145" s="131"/>
      <c r="O145" s="274">
        <v>0</v>
      </c>
      <c r="P145" s="83">
        <v>0</v>
      </c>
      <c r="Q145" s="83">
        <v>2.25</v>
      </c>
      <c r="R145" s="139">
        <f>VLOOKUP($A145,'[1]2013'!$B$4:$V$48,21,0)</f>
        <v>89</v>
      </c>
      <c r="S145" s="274">
        <v>0</v>
      </c>
      <c r="T145" s="83">
        <v>0</v>
      </c>
      <c r="U145" s="83">
        <v>0</v>
      </c>
      <c r="V145" s="139">
        <v>0</v>
      </c>
      <c r="AA145" s="232">
        <v>89</v>
      </c>
      <c r="AB145" s="232">
        <v>0</v>
      </c>
      <c r="AC145" s="232">
        <v>0</v>
      </c>
      <c r="AD145" s="232">
        <v>0</v>
      </c>
      <c r="AE145" s="232">
        <v>0</v>
      </c>
      <c r="AG145" s="454">
        <f t="shared" si="9"/>
        <v>0</v>
      </c>
      <c r="AH145" s="454">
        <f t="shared" si="9"/>
        <v>0</v>
      </c>
      <c r="AI145" s="454">
        <f t="shared" si="9"/>
        <v>0</v>
      </c>
      <c r="AJ145" s="454">
        <f t="shared" si="9"/>
        <v>0</v>
      </c>
      <c r="AK145" s="454">
        <f t="shared" si="9"/>
        <v>0</v>
      </c>
    </row>
    <row r="146" spans="1:37" s="232" customFormat="1" ht="14.25" customHeight="1">
      <c r="A146" s="303"/>
      <c r="B146" s="132">
        <v>-7</v>
      </c>
      <c r="H146" s="304" t="s">
        <v>30</v>
      </c>
      <c r="I146" s="174" t="s">
        <v>36</v>
      </c>
      <c r="J146" s="150">
        <v>41791</v>
      </c>
      <c r="K146" s="150">
        <v>41974</v>
      </c>
      <c r="L146" s="131">
        <v>222000</v>
      </c>
      <c r="M146" s="234">
        <f>L145</f>
        <v>218000</v>
      </c>
      <c r="O146" s="303"/>
      <c r="R146" s="373"/>
      <c r="S146" s="303"/>
      <c r="V146" s="373"/>
      <c r="AG146" s="454">
        <f t="shared" si="9"/>
        <v>0</v>
      </c>
      <c r="AH146" s="454">
        <f t="shared" si="9"/>
        <v>0</v>
      </c>
      <c r="AI146" s="454">
        <f t="shared" si="9"/>
        <v>0</v>
      </c>
      <c r="AJ146" s="454">
        <f t="shared" si="9"/>
        <v>0</v>
      </c>
      <c r="AK146" s="454">
        <f t="shared" si="9"/>
        <v>0</v>
      </c>
    </row>
    <row r="147" spans="1:37" s="232" customFormat="1" ht="14.25" customHeight="1">
      <c r="A147" s="303"/>
      <c r="B147" s="132">
        <v>-7</v>
      </c>
      <c r="H147" s="304" t="s">
        <v>30</v>
      </c>
      <c r="I147" s="174" t="s">
        <v>36</v>
      </c>
      <c r="J147" s="150">
        <v>41974</v>
      </c>
      <c r="K147" s="150">
        <v>42156</v>
      </c>
      <c r="L147" s="131">
        <v>225000</v>
      </c>
      <c r="M147" s="234">
        <f t="shared" ref="M147:M150" si="10">L146</f>
        <v>222000</v>
      </c>
      <c r="O147" s="303"/>
      <c r="R147" s="373"/>
      <c r="S147" s="303"/>
      <c r="V147" s="373"/>
      <c r="AG147" s="454">
        <f t="shared" si="9"/>
        <v>0</v>
      </c>
      <c r="AH147" s="454">
        <f t="shared" si="9"/>
        <v>0</v>
      </c>
      <c r="AI147" s="454">
        <f t="shared" si="9"/>
        <v>0</v>
      </c>
      <c r="AJ147" s="454">
        <f t="shared" si="9"/>
        <v>0</v>
      </c>
      <c r="AK147" s="454">
        <f t="shared" si="9"/>
        <v>0</v>
      </c>
    </row>
    <row r="148" spans="1:37" s="232" customFormat="1" ht="14.25" customHeight="1">
      <c r="A148" s="303"/>
      <c r="B148" s="132">
        <v>-7</v>
      </c>
      <c r="H148" s="304" t="s">
        <v>30</v>
      </c>
      <c r="I148" s="174" t="s">
        <v>36</v>
      </c>
      <c r="J148" s="150">
        <v>42156</v>
      </c>
      <c r="K148" s="150">
        <v>42339</v>
      </c>
      <c r="L148" s="131">
        <v>228000</v>
      </c>
      <c r="M148" s="234">
        <f t="shared" si="10"/>
        <v>225000</v>
      </c>
      <c r="O148" s="303"/>
      <c r="R148" s="373"/>
      <c r="S148" s="303"/>
      <c r="V148" s="373"/>
      <c r="AG148" s="454">
        <f t="shared" si="9"/>
        <v>0</v>
      </c>
      <c r="AH148" s="454">
        <f t="shared" si="9"/>
        <v>0</v>
      </c>
      <c r="AI148" s="454">
        <f t="shared" si="9"/>
        <v>0</v>
      </c>
      <c r="AJ148" s="454">
        <f t="shared" si="9"/>
        <v>0</v>
      </c>
      <c r="AK148" s="454">
        <f t="shared" si="9"/>
        <v>0</v>
      </c>
    </row>
    <row r="149" spans="1:37" s="232" customFormat="1" ht="14.25" customHeight="1">
      <c r="A149" s="303"/>
      <c r="B149" s="132">
        <v>-7</v>
      </c>
      <c r="H149" s="304" t="s">
        <v>30</v>
      </c>
      <c r="I149" s="174" t="s">
        <v>36</v>
      </c>
      <c r="J149" s="150">
        <v>42339</v>
      </c>
      <c r="K149" s="150">
        <v>42522</v>
      </c>
      <c r="L149" s="131">
        <v>231000</v>
      </c>
      <c r="M149" s="234">
        <f t="shared" si="10"/>
        <v>228000</v>
      </c>
      <c r="O149" s="303"/>
      <c r="R149" s="373"/>
      <c r="S149" s="303"/>
      <c r="V149" s="373"/>
      <c r="AG149" s="454">
        <f t="shared" si="9"/>
        <v>0</v>
      </c>
      <c r="AH149" s="454">
        <f t="shared" si="9"/>
        <v>0</v>
      </c>
      <c r="AI149" s="454">
        <f t="shared" si="9"/>
        <v>0</v>
      </c>
      <c r="AJ149" s="454">
        <f t="shared" si="9"/>
        <v>0</v>
      </c>
      <c r="AK149" s="454">
        <f t="shared" si="9"/>
        <v>0</v>
      </c>
    </row>
    <row r="150" spans="1:37" s="232" customFormat="1" ht="14.25" customHeight="1">
      <c r="A150" s="303"/>
      <c r="B150" s="132">
        <v>-7</v>
      </c>
      <c r="H150" s="304" t="s">
        <v>30</v>
      </c>
      <c r="I150" s="174" t="s">
        <v>36</v>
      </c>
      <c r="J150" s="150">
        <v>42522</v>
      </c>
      <c r="K150" s="150">
        <v>42735</v>
      </c>
      <c r="L150" s="131">
        <v>235000</v>
      </c>
      <c r="M150" s="234">
        <f t="shared" si="10"/>
        <v>231000</v>
      </c>
      <c r="O150" s="303"/>
      <c r="R150" s="373"/>
      <c r="S150" s="303"/>
      <c r="V150" s="373"/>
      <c r="AG150" s="454">
        <f t="shared" si="9"/>
        <v>0</v>
      </c>
      <c r="AH150" s="454">
        <f t="shared" si="9"/>
        <v>0</v>
      </c>
      <c r="AI150" s="454">
        <f t="shared" si="9"/>
        <v>0</v>
      </c>
      <c r="AJ150" s="454">
        <f t="shared" si="9"/>
        <v>0</v>
      </c>
      <c r="AK150" s="454">
        <f t="shared" si="9"/>
        <v>0</v>
      </c>
    </row>
    <row r="151" spans="1:37" s="36" customFormat="1">
      <c r="A151" s="167" t="s">
        <v>199</v>
      </c>
      <c r="B151" s="198">
        <v>-7</v>
      </c>
      <c r="C151" s="168"/>
      <c r="D151" s="168"/>
      <c r="E151" s="169">
        <v>1998</v>
      </c>
      <c r="F151" s="170">
        <v>400</v>
      </c>
      <c r="G151" s="170">
        <v>30000</v>
      </c>
      <c r="H151" s="165" t="s">
        <v>30</v>
      </c>
      <c r="I151" s="166" t="s">
        <v>115</v>
      </c>
      <c r="J151" s="166">
        <v>41609</v>
      </c>
      <c r="K151" s="166">
        <v>41699</v>
      </c>
      <c r="L151" s="58">
        <v>191000</v>
      </c>
      <c r="M151" s="63">
        <v>190000</v>
      </c>
      <c r="N151" s="58"/>
      <c r="O151" s="275">
        <v>0</v>
      </c>
      <c r="P151" s="34">
        <v>0</v>
      </c>
      <c r="Q151" s="34">
        <v>6</v>
      </c>
      <c r="R151" s="142">
        <f>VLOOKUP($A151,'[1]2013'!$B$4:$V$48,21,0)</f>
        <v>76</v>
      </c>
      <c r="S151" s="34">
        <v>0</v>
      </c>
      <c r="T151" s="34">
        <v>0</v>
      </c>
      <c r="U151" s="34">
        <v>0</v>
      </c>
      <c r="V151" s="142">
        <v>0</v>
      </c>
      <c r="AA151" s="36">
        <v>76</v>
      </c>
      <c r="AB151" s="36">
        <v>0</v>
      </c>
      <c r="AC151" s="36">
        <v>0</v>
      </c>
      <c r="AD151" s="36">
        <v>0</v>
      </c>
      <c r="AE151" s="36">
        <v>0</v>
      </c>
      <c r="AG151" s="455">
        <f t="shared" si="9"/>
        <v>0</v>
      </c>
      <c r="AH151" s="455">
        <f t="shared" si="9"/>
        <v>0</v>
      </c>
      <c r="AI151" s="455">
        <f t="shared" si="9"/>
        <v>0</v>
      </c>
      <c r="AJ151" s="455">
        <f t="shared" si="9"/>
        <v>0</v>
      </c>
      <c r="AK151" s="455">
        <f t="shared" si="9"/>
        <v>0</v>
      </c>
    </row>
    <row r="152" spans="1:37" s="36" customFormat="1" ht="14.25" customHeight="1">
      <c r="A152" s="167"/>
      <c r="B152" s="198">
        <v>-7</v>
      </c>
      <c r="C152" s="168"/>
      <c r="D152" s="168"/>
      <c r="E152" s="169"/>
      <c r="F152" s="170"/>
      <c r="G152" s="170"/>
      <c r="H152" s="165" t="s">
        <v>30</v>
      </c>
      <c r="I152" s="166" t="s">
        <v>115</v>
      </c>
      <c r="J152" s="166">
        <v>41699</v>
      </c>
      <c r="K152" s="166">
        <v>41791</v>
      </c>
      <c r="L152" s="58">
        <v>212000</v>
      </c>
      <c r="M152" s="63">
        <v>191000</v>
      </c>
      <c r="N152" s="58"/>
      <c r="O152" s="275" t="s">
        <v>51</v>
      </c>
      <c r="P152" s="34" t="s">
        <v>51</v>
      </c>
      <c r="Q152" s="34"/>
      <c r="R152" s="142"/>
      <c r="S152" s="34"/>
      <c r="T152" s="34"/>
      <c r="U152" s="34"/>
      <c r="V152" s="142"/>
      <c r="AG152" s="455">
        <f t="shared" si="9"/>
        <v>0</v>
      </c>
      <c r="AH152" s="455">
        <f t="shared" si="9"/>
        <v>0</v>
      </c>
      <c r="AI152" s="455">
        <f t="shared" si="9"/>
        <v>0</v>
      </c>
      <c r="AJ152" s="455">
        <f t="shared" si="9"/>
        <v>0</v>
      </c>
      <c r="AK152" s="455">
        <f t="shared" si="9"/>
        <v>0</v>
      </c>
    </row>
    <row r="153" spans="1:37" s="36" customFormat="1" ht="14.25" customHeight="1">
      <c r="A153" s="167"/>
      <c r="B153" s="198"/>
      <c r="C153" s="168"/>
      <c r="D153" s="168"/>
      <c r="E153" s="169"/>
      <c r="F153" s="170"/>
      <c r="G153" s="170"/>
      <c r="H153" s="165" t="s">
        <v>30</v>
      </c>
      <c r="I153" s="166" t="s">
        <v>115</v>
      </c>
      <c r="J153" s="166">
        <f>K152</f>
        <v>41791</v>
      </c>
      <c r="K153" s="166">
        <v>42004</v>
      </c>
      <c r="L153" s="58">
        <v>222000</v>
      </c>
      <c r="M153" s="58">
        <v>212000</v>
      </c>
      <c r="N153" s="58"/>
      <c r="O153" s="275"/>
      <c r="P153" s="34"/>
      <c r="Q153" s="34"/>
      <c r="R153" s="142"/>
      <c r="S153" s="34"/>
      <c r="T153" s="34"/>
      <c r="U153" s="34"/>
      <c r="V153" s="142"/>
      <c r="AG153" s="455">
        <f t="shared" si="9"/>
        <v>0</v>
      </c>
      <c r="AH153" s="455">
        <f t="shared" si="9"/>
        <v>0</v>
      </c>
      <c r="AI153" s="455">
        <f t="shared" si="9"/>
        <v>0</v>
      </c>
      <c r="AJ153" s="455">
        <f t="shared" si="9"/>
        <v>0</v>
      </c>
      <c r="AK153" s="455">
        <f t="shared" si="9"/>
        <v>0</v>
      </c>
    </row>
    <row r="154" spans="1:37" s="232" customFormat="1" ht="14.25" customHeight="1">
      <c r="A154" s="424" t="s">
        <v>200</v>
      </c>
      <c r="B154" s="133" t="s">
        <v>145</v>
      </c>
      <c r="C154" s="233"/>
      <c r="D154" s="233"/>
      <c r="E154" s="172">
        <v>1999</v>
      </c>
      <c r="F154" s="173">
        <v>400</v>
      </c>
      <c r="G154" s="173">
        <v>30000</v>
      </c>
      <c r="H154" s="174" t="s">
        <v>30</v>
      </c>
      <c r="I154" s="150" t="s">
        <v>58</v>
      </c>
      <c r="J154" s="150">
        <v>41456</v>
      </c>
      <c r="K154" s="150">
        <v>41730</v>
      </c>
      <c r="L154" s="131">
        <v>223000</v>
      </c>
      <c r="M154" s="234">
        <v>146000</v>
      </c>
      <c r="N154" s="131"/>
      <c r="O154" s="274">
        <v>0</v>
      </c>
      <c r="P154" s="83">
        <v>0</v>
      </c>
      <c r="Q154" s="83">
        <v>0</v>
      </c>
      <c r="R154" s="139">
        <v>0</v>
      </c>
      <c r="S154" s="83">
        <f>VLOOKUP($A154,'[1]2014'!$B$4:$R$53,14,0)</f>
        <v>0</v>
      </c>
      <c r="T154" s="83">
        <f>VLOOKUP($A154,'[1]2014'!$B$4:$R$53,15,0)</f>
        <v>66</v>
      </c>
      <c r="U154" s="83">
        <f>VLOOKUP($A154,'[1]2014'!$B$4:$R$53,16,0)</f>
        <v>11</v>
      </c>
      <c r="V154" s="139">
        <f>VLOOKUP($A154,'[1]2014'!$B$4:$R$53,17,0)</f>
        <v>0</v>
      </c>
      <c r="AA154" s="232">
        <v>0</v>
      </c>
      <c r="AB154" s="232">
        <v>0</v>
      </c>
      <c r="AC154" s="232">
        <v>66</v>
      </c>
      <c r="AD154" s="232">
        <v>11</v>
      </c>
      <c r="AE154" s="232">
        <v>0</v>
      </c>
      <c r="AG154" s="454">
        <f t="shared" si="9"/>
        <v>0</v>
      </c>
      <c r="AH154" s="454">
        <f t="shared" si="9"/>
        <v>0</v>
      </c>
      <c r="AI154" s="454">
        <f t="shared" si="9"/>
        <v>0</v>
      </c>
      <c r="AJ154" s="454">
        <f t="shared" si="9"/>
        <v>0</v>
      </c>
      <c r="AK154" s="454">
        <f t="shared" si="9"/>
        <v>0</v>
      </c>
    </row>
    <row r="155" spans="1:37" ht="14.25" customHeight="1">
      <c r="A155" s="167" t="s">
        <v>207</v>
      </c>
      <c r="B155" s="198">
        <v>-6</v>
      </c>
      <c r="C155" s="168"/>
      <c r="D155" s="168"/>
      <c r="E155" s="169">
        <v>2012</v>
      </c>
      <c r="F155" s="170">
        <v>400</v>
      </c>
      <c r="G155" s="170">
        <v>30000</v>
      </c>
      <c r="H155" s="165" t="s">
        <v>39</v>
      </c>
      <c r="I155" s="51" t="s">
        <v>60</v>
      </c>
      <c r="J155" s="166">
        <v>41030</v>
      </c>
      <c r="K155" s="166">
        <v>42125</v>
      </c>
      <c r="L155" s="58">
        <v>153000</v>
      </c>
      <c r="M155" s="63" t="s">
        <v>42</v>
      </c>
      <c r="N155" s="58"/>
      <c r="O155" s="275">
        <v>0</v>
      </c>
      <c r="P155" s="34">
        <v>0</v>
      </c>
      <c r="Q155" s="34">
        <v>0</v>
      </c>
      <c r="R155" s="142">
        <v>0</v>
      </c>
      <c r="S155" s="34">
        <f>VLOOKUP($A155,'[1]2014'!$B$4:$R$53,14,0)</f>
        <v>0</v>
      </c>
      <c r="T155" s="34">
        <f>VLOOKUP($A155,'[1]2014'!$B$4:$R$53,15,0)</f>
        <v>0</v>
      </c>
      <c r="U155" s="34">
        <f>VLOOKUP($A155,'[1]2014'!$B$4:$R$53,16,0)</f>
        <v>0</v>
      </c>
      <c r="V155" s="142">
        <f>VLOOKUP($A155,'[1]2014'!$B$4:$R$53,17,0)</f>
        <v>3</v>
      </c>
      <c r="AA155" s="7">
        <v>0</v>
      </c>
      <c r="AB155" s="7">
        <v>0</v>
      </c>
      <c r="AC155" s="7">
        <v>0</v>
      </c>
      <c r="AD155" s="7">
        <v>0</v>
      </c>
      <c r="AE155" s="7">
        <v>9</v>
      </c>
      <c r="AG155" s="456">
        <f t="shared" si="9"/>
        <v>0</v>
      </c>
      <c r="AH155" s="456">
        <f t="shared" si="9"/>
        <v>0</v>
      </c>
      <c r="AI155" s="456">
        <f t="shared" si="9"/>
        <v>0</v>
      </c>
      <c r="AJ155" s="456">
        <f t="shared" si="9"/>
        <v>0</v>
      </c>
      <c r="AK155" s="456">
        <f t="shared" si="9"/>
        <v>-6</v>
      </c>
    </row>
    <row r="156" spans="1:37" s="329" customFormat="1" ht="14.25" customHeight="1">
      <c r="A156" s="366" t="s">
        <v>7</v>
      </c>
      <c r="B156" s="132"/>
      <c r="C156" s="233"/>
      <c r="D156" s="233"/>
      <c r="E156" s="172">
        <v>1992</v>
      </c>
      <c r="F156" s="173">
        <v>350</v>
      </c>
      <c r="G156" s="173">
        <v>30000</v>
      </c>
      <c r="H156" s="174" t="s">
        <v>34</v>
      </c>
      <c r="I156" s="150" t="s">
        <v>59</v>
      </c>
      <c r="J156" s="150">
        <v>41395</v>
      </c>
      <c r="K156" s="150">
        <v>41760</v>
      </c>
      <c r="L156" s="291">
        <v>168000</v>
      </c>
      <c r="M156" s="234">
        <v>160000</v>
      </c>
      <c r="N156" s="131"/>
      <c r="O156" s="274">
        <v>0</v>
      </c>
      <c r="P156" s="83">
        <v>0</v>
      </c>
      <c r="Q156" s="83">
        <v>0</v>
      </c>
      <c r="R156" s="139">
        <v>0</v>
      </c>
      <c r="S156" s="83">
        <f>VLOOKUP($A156,'[1]2014'!$B$4:$R$53,14,0)</f>
        <v>0</v>
      </c>
      <c r="T156" s="83">
        <f>VLOOKUP($A156,'[1]2014'!$B$4:$R$53,15,0)</f>
        <v>21</v>
      </c>
      <c r="U156" s="83">
        <f>VLOOKUP($A156,'[1]2014'!$B$4:$R$53,16,0)</f>
        <v>0</v>
      </c>
      <c r="V156" s="139">
        <f>VLOOKUP($A156,'[1]2014'!$B$4:$R$53,17,0)</f>
        <v>0</v>
      </c>
      <c r="AA156" s="329">
        <v>0</v>
      </c>
      <c r="AB156" s="329">
        <v>0</v>
      </c>
      <c r="AC156" s="329">
        <v>21</v>
      </c>
      <c r="AD156" s="329">
        <v>0</v>
      </c>
      <c r="AE156" s="329">
        <v>0</v>
      </c>
      <c r="AG156" s="457">
        <f t="shared" si="9"/>
        <v>0</v>
      </c>
      <c r="AH156" s="457">
        <f t="shared" si="9"/>
        <v>0</v>
      </c>
      <c r="AI156" s="457">
        <f t="shared" si="9"/>
        <v>0</v>
      </c>
      <c r="AJ156" s="457">
        <f t="shared" si="9"/>
        <v>0</v>
      </c>
      <c r="AK156" s="457">
        <f t="shared" si="9"/>
        <v>0</v>
      </c>
    </row>
    <row r="157" spans="1:37" s="230" customFormat="1" ht="14.25" customHeight="1">
      <c r="A157" s="167" t="s">
        <v>150</v>
      </c>
      <c r="B157" s="198">
        <v>-7</v>
      </c>
      <c r="C157" s="168"/>
      <c r="D157" s="168"/>
      <c r="E157" s="169">
        <v>1986</v>
      </c>
      <c r="F157" s="170">
        <v>350</v>
      </c>
      <c r="G157" s="170">
        <v>30000</v>
      </c>
      <c r="H157" s="165" t="s">
        <v>30</v>
      </c>
      <c r="I157" s="166" t="s">
        <v>115</v>
      </c>
      <c r="J157" s="334">
        <v>41518</v>
      </c>
      <c r="K157" s="166">
        <v>41699</v>
      </c>
      <c r="L157" s="213">
        <v>161000</v>
      </c>
      <c r="M157" s="63">
        <v>97000</v>
      </c>
      <c r="N157" s="58"/>
      <c r="O157" s="275">
        <v>0</v>
      </c>
      <c r="P157" s="34">
        <v>0</v>
      </c>
      <c r="Q157" s="34">
        <v>47.3125</v>
      </c>
      <c r="R157" s="142">
        <f>VLOOKUP($A157,'[1]2013'!$B$4:$V$48,21,0)</f>
        <v>14.1875</v>
      </c>
      <c r="S157" s="34">
        <v>0</v>
      </c>
      <c r="T157" s="34">
        <v>0</v>
      </c>
      <c r="U157" s="34">
        <v>0</v>
      </c>
      <c r="V157" s="142">
        <v>0</v>
      </c>
      <c r="AA157" s="230">
        <v>7</v>
      </c>
      <c r="AB157" s="230">
        <v>0</v>
      </c>
      <c r="AC157" s="230">
        <v>0</v>
      </c>
      <c r="AD157" s="230">
        <v>0</v>
      </c>
      <c r="AE157" s="230">
        <v>0</v>
      </c>
      <c r="AG157" s="458">
        <f t="shared" si="9"/>
        <v>7.1875</v>
      </c>
      <c r="AH157" s="458">
        <f t="shared" si="9"/>
        <v>0</v>
      </c>
      <c r="AI157" s="458">
        <f t="shared" si="9"/>
        <v>0</v>
      </c>
      <c r="AJ157" s="458">
        <f t="shared" si="9"/>
        <v>0</v>
      </c>
      <c r="AK157" s="458">
        <f t="shared" si="9"/>
        <v>0</v>
      </c>
    </row>
    <row r="158" spans="1:37" s="230" customFormat="1" ht="14.25" customHeight="1">
      <c r="A158" s="167"/>
      <c r="B158" s="198">
        <v>-7</v>
      </c>
      <c r="C158" s="168"/>
      <c r="D158" s="168"/>
      <c r="E158" s="169"/>
      <c r="F158" s="170"/>
      <c r="G158" s="170"/>
      <c r="H158" s="165" t="s">
        <v>30</v>
      </c>
      <c r="I158" s="166" t="s">
        <v>115</v>
      </c>
      <c r="J158" s="334">
        <f>+K157</f>
        <v>41699</v>
      </c>
      <c r="K158" s="166">
        <v>41883</v>
      </c>
      <c r="L158" s="213">
        <v>164000</v>
      </c>
      <c r="M158" s="63">
        <f t="shared" ref="M158:M159" si="11">+L157</f>
        <v>161000</v>
      </c>
      <c r="N158" s="58"/>
      <c r="O158" s="275" t="s">
        <v>51</v>
      </c>
      <c r="P158" s="34" t="s">
        <v>51</v>
      </c>
      <c r="Q158" s="34"/>
      <c r="R158" s="142"/>
      <c r="S158" s="34"/>
      <c r="T158" s="34"/>
      <c r="U158" s="34"/>
      <c r="V158" s="142"/>
      <c r="AG158" s="458">
        <f t="shared" si="9"/>
        <v>0</v>
      </c>
      <c r="AH158" s="458">
        <f t="shared" si="9"/>
        <v>0</v>
      </c>
      <c r="AI158" s="458">
        <f t="shared" si="9"/>
        <v>0</v>
      </c>
      <c r="AJ158" s="458">
        <f t="shared" si="9"/>
        <v>0</v>
      </c>
      <c r="AK158" s="458">
        <f t="shared" si="9"/>
        <v>0</v>
      </c>
    </row>
    <row r="159" spans="1:37" s="230" customFormat="1" ht="14.25" customHeight="1">
      <c r="A159" s="167"/>
      <c r="B159" s="198">
        <v>-7</v>
      </c>
      <c r="C159" s="168"/>
      <c r="D159" s="168"/>
      <c r="E159" s="169"/>
      <c r="F159" s="170"/>
      <c r="G159" s="170"/>
      <c r="H159" s="165" t="s">
        <v>30</v>
      </c>
      <c r="I159" s="166" t="s">
        <v>115</v>
      </c>
      <c r="J159" s="334">
        <f>+K158</f>
        <v>41883</v>
      </c>
      <c r="K159" s="166">
        <v>42064</v>
      </c>
      <c r="L159" s="213">
        <v>166000</v>
      </c>
      <c r="M159" s="63">
        <f t="shared" si="11"/>
        <v>164000</v>
      </c>
      <c r="N159" s="58"/>
      <c r="O159" s="275" t="s">
        <v>51</v>
      </c>
      <c r="P159" s="34" t="s">
        <v>51</v>
      </c>
      <c r="Q159" s="34"/>
      <c r="R159" s="142"/>
      <c r="S159" s="34"/>
      <c r="T159" s="34"/>
      <c r="U159" s="34"/>
      <c r="V159" s="142"/>
      <c r="AG159" s="458">
        <f t="shared" si="9"/>
        <v>0</v>
      </c>
      <c r="AH159" s="458">
        <f t="shared" si="9"/>
        <v>0</v>
      </c>
      <c r="AI159" s="458">
        <f t="shared" si="9"/>
        <v>0</v>
      </c>
      <c r="AJ159" s="458">
        <f t="shared" si="9"/>
        <v>0</v>
      </c>
      <c r="AK159" s="458">
        <f t="shared" si="9"/>
        <v>0</v>
      </c>
    </row>
    <row r="160" spans="1:37" s="329" customFormat="1" ht="14.25" customHeight="1">
      <c r="A160" s="365" t="s">
        <v>238</v>
      </c>
      <c r="B160" s="132"/>
      <c r="C160" s="233"/>
      <c r="D160" s="233"/>
      <c r="E160" s="172">
        <v>1989</v>
      </c>
      <c r="F160" s="173">
        <v>350</v>
      </c>
      <c r="G160" s="173">
        <v>30000</v>
      </c>
      <c r="H160" s="174" t="s">
        <v>34</v>
      </c>
      <c r="I160" s="86" t="s">
        <v>129</v>
      </c>
      <c r="J160" s="150">
        <v>41153</v>
      </c>
      <c r="K160" s="346">
        <v>41623</v>
      </c>
      <c r="L160" s="131">
        <v>153000</v>
      </c>
      <c r="M160" s="234">
        <v>118000</v>
      </c>
      <c r="N160" s="131"/>
      <c r="O160" s="374">
        <v>0</v>
      </c>
      <c r="P160" s="375">
        <v>0</v>
      </c>
      <c r="Q160" s="375">
        <v>0</v>
      </c>
      <c r="R160" s="376">
        <f>VLOOKUP($A160,'[1]2013'!$B$4:$V$48,21,0)</f>
        <v>0</v>
      </c>
      <c r="S160" s="374">
        <f>VLOOKUP($A160,'[1]2014'!$B$4:$R$53,14,0)</f>
        <v>0</v>
      </c>
      <c r="T160" s="375">
        <f>VLOOKUP($A160,'[1]2014'!$B$4:$R$53,15,0)</f>
        <v>0</v>
      </c>
      <c r="U160" s="375">
        <f>VLOOKUP($A160,'[1]2014'!$B$4:$R$53,16,0)</f>
        <v>0</v>
      </c>
      <c r="V160" s="376">
        <f>VLOOKUP($A160,'[1]2014'!$B$4:$R$53,17,0)</f>
        <v>0</v>
      </c>
      <c r="W160" s="329" t="s">
        <v>271</v>
      </c>
      <c r="AA160" s="329">
        <v>0</v>
      </c>
      <c r="AB160" s="329">
        <v>0</v>
      </c>
      <c r="AC160" s="329">
        <v>0</v>
      </c>
      <c r="AD160" s="329">
        <v>0</v>
      </c>
      <c r="AE160" s="329">
        <v>0</v>
      </c>
      <c r="AG160" s="457">
        <f t="shared" si="9"/>
        <v>0</v>
      </c>
      <c r="AH160" s="457">
        <f t="shared" si="9"/>
        <v>0</v>
      </c>
      <c r="AI160" s="457">
        <f t="shared" si="9"/>
        <v>0</v>
      </c>
      <c r="AJ160" s="457">
        <f t="shared" si="9"/>
        <v>0</v>
      </c>
      <c r="AK160" s="457">
        <f t="shared" si="9"/>
        <v>0</v>
      </c>
    </row>
    <row r="161" spans="1:37" ht="14.25" customHeight="1">
      <c r="A161" s="167" t="s">
        <v>124</v>
      </c>
      <c r="B161" s="198">
        <v>-6</v>
      </c>
      <c r="C161" s="168"/>
      <c r="D161" s="168"/>
      <c r="E161" s="169">
        <v>2013</v>
      </c>
      <c r="F161" s="170">
        <v>350</v>
      </c>
      <c r="G161" s="170">
        <v>35000</v>
      </c>
      <c r="H161" s="165" t="s">
        <v>43</v>
      </c>
      <c r="I161" s="51" t="s">
        <v>60</v>
      </c>
      <c r="J161" s="166">
        <v>41411</v>
      </c>
      <c r="K161" s="166">
        <v>42514</v>
      </c>
      <c r="L161" s="58">
        <v>145000</v>
      </c>
      <c r="M161" s="63" t="s">
        <v>42</v>
      </c>
      <c r="N161" s="58"/>
      <c r="O161" s="275">
        <v>0</v>
      </c>
      <c r="P161" s="34">
        <v>0</v>
      </c>
      <c r="Q161" s="34">
        <v>0</v>
      </c>
      <c r="R161" s="142">
        <v>0</v>
      </c>
      <c r="S161" s="34">
        <v>0</v>
      </c>
      <c r="T161" s="34">
        <v>0</v>
      </c>
      <c r="U161" s="34">
        <v>0</v>
      </c>
      <c r="V161" s="142">
        <v>0</v>
      </c>
      <c r="AA161" s="7">
        <v>0</v>
      </c>
      <c r="AB161" s="7">
        <v>0</v>
      </c>
      <c r="AC161" s="7">
        <v>0</v>
      </c>
      <c r="AD161" s="7">
        <v>0</v>
      </c>
      <c r="AE161" s="7">
        <v>0</v>
      </c>
      <c r="AG161" s="456">
        <f t="shared" si="9"/>
        <v>0</v>
      </c>
      <c r="AH161" s="456">
        <f t="shared" si="9"/>
        <v>0</v>
      </c>
      <c r="AI161" s="456">
        <f t="shared" si="9"/>
        <v>0</v>
      </c>
      <c r="AJ161" s="456">
        <f t="shared" si="9"/>
        <v>0</v>
      </c>
      <c r="AK161" s="456">
        <f t="shared" si="9"/>
        <v>0</v>
      </c>
    </row>
    <row r="162" spans="1:37" s="232" customFormat="1" ht="14.25" customHeight="1">
      <c r="A162" s="303" t="s">
        <v>123</v>
      </c>
      <c r="B162" s="132">
        <v>-6</v>
      </c>
      <c r="C162" s="304"/>
      <c r="D162" s="304"/>
      <c r="E162" s="304">
        <v>2013</v>
      </c>
      <c r="F162" s="304">
        <v>350</v>
      </c>
      <c r="G162" s="143">
        <v>35000</v>
      </c>
      <c r="H162" s="304" t="s">
        <v>43</v>
      </c>
      <c r="I162" s="304" t="s">
        <v>60</v>
      </c>
      <c r="J162" s="150">
        <v>41360</v>
      </c>
      <c r="K162" s="150">
        <v>43185</v>
      </c>
      <c r="L162" s="291">
        <v>139000</v>
      </c>
      <c r="M162" s="403" t="s">
        <v>42</v>
      </c>
      <c r="N162" s="377"/>
      <c r="O162" s="274">
        <v>0</v>
      </c>
      <c r="P162" s="83">
        <v>0</v>
      </c>
      <c r="Q162" s="83">
        <v>0</v>
      </c>
      <c r="R162" s="139">
        <v>0</v>
      </c>
      <c r="S162" s="83">
        <v>0</v>
      </c>
      <c r="T162" s="83">
        <v>0</v>
      </c>
      <c r="U162" s="83">
        <v>0</v>
      </c>
      <c r="V162" s="139">
        <v>0</v>
      </c>
      <c r="AA162" s="232">
        <v>0</v>
      </c>
      <c r="AB162" s="232">
        <v>0</v>
      </c>
      <c r="AC162" s="232">
        <v>0</v>
      </c>
      <c r="AD162" s="232">
        <v>0</v>
      </c>
      <c r="AE162" s="232">
        <v>0</v>
      </c>
      <c r="AG162" s="454">
        <f t="shared" si="9"/>
        <v>0</v>
      </c>
      <c r="AH162" s="454">
        <f t="shared" si="9"/>
        <v>0</v>
      </c>
      <c r="AI162" s="454">
        <f t="shared" si="9"/>
        <v>0</v>
      </c>
      <c r="AJ162" s="454">
        <f t="shared" si="9"/>
        <v>0</v>
      </c>
      <c r="AK162" s="454">
        <f t="shared" si="9"/>
        <v>0</v>
      </c>
    </row>
    <row r="163" spans="1:37" s="5" customFormat="1" ht="14.25" customHeight="1">
      <c r="A163" s="178" t="s">
        <v>125</v>
      </c>
      <c r="B163" s="251">
        <v>-6</v>
      </c>
      <c r="C163" s="404"/>
      <c r="D163" s="404"/>
      <c r="E163" s="404">
        <v>2013</v>
      </c>
      <c r="F163" s="404">
        <v>350</v>
      </c>
      <c r="G163" s="183">
        <v>35000</v>
      </c>
      <c r="H163" s="404" t="s">
        <v>43</v>
      </c>
      <c r="I163" s="404" t="s">
        <v>60</v>
      </c>
      <c r="J163" s="316">
        <v>41557</v>
      </c>
      <c r="K163" s="316">
        <v>43383</v>
      </c>
      <c r="L163" s="405">
        <v>135000</v>
      </c>
      <c r="M163" s="406" t="s">
        <v>42</v>
      </c>
      <c r="N163" s="236"/>
      <c r="O163" s="277">
        <v>0</v>
      </c>
      <c r="P163" s="55">
        <v>0</v>
      </c>
      <c r="Q163" s="55">
        <v>0</v>
      </c>
      <c r="R163" s="155">
        <v>0</v>
      </c>
      <c r="S163" s="55">
        <v>0</v>
      </c>
      <c r="T163" s="55">
        <v>0</v>
      </c>
      <c r="U163" s="55">
        <v>0</v>
      </c>
      <c r="V163" s="155">
        <v>0</v>
      </c>
      <c r="AA163" s="5">
        <v>0</v>
      </c>
      <c r="AG163" s="459">
        <f t="shared" si="9"/>
        <v>0</v>
      </c>
      <c r="AH163" s="459">
        <f t="shared" si="9"/>
        <v>0</v>
      </c>
      <c r="AI163" s="459">
        <f t="shared" si="9"/>
        <v>0</v>
      </c>
      <c r="AJ163" s="459">
        <f t="shared" si="9"/>
        <v>0</v>
      </c>
      <c r="AK163" s="459">
        <f t="shared" si="9"/>
        <v>0</v>
      </c>
    </row>
    <row r="164" spans="1:37" s="36" customFormat="1" ht="6" customHeight="1">
      <c r="A164" s="23"/>
      <c r="B164" s="58"/>
      <c r="C164" s="51"/>
      <c r="D164" s="51"/>
      <c r="E164" s="51"/>
      <c r="F164" s="51"/>
      <c r="G164" s="51"/>
      <c r="H164" s="51"/>
      <c r="I164" s="51"/>
      <c r="J164" s="166"/>
      <c r="K164" s="166"/>
      <c r="L164" s="58"/>
      <c r="M164" s="58"/>
      <c r="N164" s="58"/>
      <c r="O164" s="54"/>
      <c r="P164" s="54"/>
      <c r="Q164" s="54"/>
      <c r="R164" s="54"/>
      <c r="S164" s="54"/>
      <c r="T164" s="54"/>
      <c r="U164" s="54"/>
      <c r="V164" s="54"/>
      <c r="AG164" s="455">
        <f t="shared" si="9"/>
        <v>0</v>
      </c>
      <c r="AH164" s="455">
        <f t="shared" si="9"/>
        <v>0</v>
      </c>
      <c r="AI164" s="455">
        <f t="shared" si="9"/>
        <v>0</v>
      </c>
      <c r="AJ164" s="455">
        <f t="shared" si="9"/>
        <v>0</v>
      </c>
      <c r="AK164" s="455">
        <f t="shared" si="9"/>
        <v>0</v>
      </c>
    </row>
    <row r="165" spans="1:37" ht="15">
      <c r="A165" s="206" t="s">
        <v>224</v>
      </c>
      <c r="B165" s="208"/>
      <c r="C165" s="203"/>
      <c r="D165" s="209"/>
      <c r="E165" s="210"/>
      <c r="F165" s="209"/>
      <c r="G165" s="209"/>
      <c r="H165" s="211"/>
      <c r="I165" s="209"/>
      <c r="J165" s="262"/>
      <c r="K165" s="262"/>
      <c r="L165" s="268"/>
      <c r="M165" s="269"/>
    </row>
    <row r="166" spans="1:37">
      <c r="A166" s="195"/>
      <c r="B166" s="196"/>
      <c r="C166" s="197"/>
      <c r="D166" s="141"/>
      <c r="E166" s="176"/>
      <c r="F166" s="52"/>
      <c r="G166" s="177"/>
      <c r="H166" s="51"/>
      <c r="I166" s="51"/>
      <c r="J166" s="166"/>
      <c r="K166" s="166"/>
      <c r="L166" s="58"/>
      <c r="M166" s="231"/>
    </row>
    <row r="167" spans="1:37" ht="15">
      <c r="A167" s="201" t="s">
        <v>222</v>
      </c>
      <c r="B167" s="207"/>
      <c r="C167" s="203"/>
      <c r="D167" s="204"/>
      <c r="E167" s="205"/>
      <c r="F167" s="204"/>
      <c r="G167" s="204"/>
      <c r="H167" s="204"/>
      <c r="I167" s="204"/>
      <c r="J167" s="257"/>
      <c r="K167" s="257"/>
      <c r="L167" s="292"/>
      <c r="M167" s="293"/>
    </row>
    <row r="168" spans="1:37" ht="15">
      <c r="A168" s="285"/>
      <c r="B168" s="286"/>
      <c r="C168" s="287"/>
      <c r="D168" s="288"/>
      <c r="E168" s="289"/>
      <c r="F168" s="288"/>
      <c r="G168" s="288"/>
      <c r="H168" s="288"/>
      <c r="I168" s="288"/>
      <c r="J168" s="290"/>
      <c r="K168" s="290"/>
      <c r="L168" s="294"/>
      <c r="M168" s="295"/>
    </row>
    <row r="169" spans="1:37">
      <c r="A169" s="355" t="s">
        <v>47</v>
      </c>
      <c r="B169" s="63">
        <v>-7</v>
      </c>
      <c r="C169" s="51" t="s">
        <v>53</v>
      </c>
      <c r="D169" s="51"/>
      <c r="E169" s="51" t="s">
        <v>48</v>
      </c>
      <c r="F169" s="52">
        <v>5400</v>
      </c>
      <c r="G169" s="52">
        <v>30000</v>
      </c>
      <c r="H169" s="51" t="s">
        <v>38</v>
      </c>
      <c r="I169" s="51" t="s">
        <v>245</v>
      </c>
      <c r="J169" s="278">
        <v>41693</v>
      </c>
      <c r="K169" s="278">
        <v>41722</v>
      </c>
      <c r="L169" s="213">
        <v>525000</v>
      </c>
      <c r="M169" s="63">
        <v>380000</v>
      </c>
    </row>
    <row r="170" spans="1:37">
      <c r="A170" s="175"/>
      <c r="B170" s="136"/>
      <c r="C170" s="176"/>
      <c r="D170" s="141"/>
      <c r="E170" s="176"/>
      <c r="F170" s="52"/>
      <c r="G170" s="177"/>
      <c r="H170" s="51"/>
      <c r="I170" s="51"/>
      <c r="J170" s="166"/>
      <c r="K170" s="166"/>
      <c r="L170" s="58"/>
      <c r="M170" s="63"/>
    </row>
    <row r="171" spans="1:37" ht="15">
      <c r="A171" s="201" t="s">
        <v>152</v>
      </c>
      <c r="B171" s="202"/>
      <c r="C171" s="203"/>
      <c r="D171" s="204"/>
      <c r="E171" s="205"/>
      <c r="F171" s="204"/>
      <c r="G171" s="204"/>
      <c r="H171" s="204"/>
      <c r="I171" s="204"/>
      <c r="J171" s="257"/>
      <c r="K171" s="257"/>
      <c r="L171" s="292"/>
      <c r="M171" s="296"/>
    </row>
    <row r="172" spans="1:37">
      <c r="A172" s="175"/>
      <c r="B172" s="135"/>
      <c r="C172" s="176"/>
      <c r="D172" s="141"/>
      <c r="E172" s="176"/>
      <c r="F172" s="52"/>
      <c r="G172" s="177"/>
      <c r="H172" s="51"/>
      <c r="I172" s="51"/>
      <c r="J172" s="166"/>
      <c r="K172" s="166"/>
      <c r="L172" s="58"/>
      <c r="M172" s="63"/>
    </row>
    <row r="173" spans="1:37">
      <c r="A173" s="428" t="s">
        <v>186</v>
      </c>
      <c r="B173" s="251">
        <v>-6</v>
      </c>
      <c r="C173" s="182" t="s">
        <v>53</v>
      </c>
      <c r="D173" s="182"/>
      <c r="E173" s="182">
        <v>1985</v>
      </c>
      <c r="F173" s="183">
        <v>1500</v>
      </c>
      <c r="G173" s="183">
        <v>25000</v>
      </c>
      <c r="H173" s="430" t="s">
        <v>272</v>
      </c>
      <c r="I173" s="331" t="s">
        <v>35</v>
      </c>
      <c r="J173" s="331">
        <v>42887</v>
      </c>
      <c r="K173" s="331">
        <v>43069</v>
      </c>
      <c r="L173" s="333">
        <v>620000</v>
      </c>
      <c r="M173" s="429">
        <v>589000</v>
      </c>
    </row>
  </sheetData>
  <autoFilter ref="A8:J8"/>
  <mergeCells count="6">
    <mergeCell ref="A3:M3"/>
    <mergeCell ref="A4:M4"/>
    <mergeCell ref="O6:R6"/>
    <mergeCell ref="S6:V6"/>
    <mergeCell ref="O7:R7"/>
    <mergeCell ref="S7:V7"/>
  </mergeCells>
  <printOptions horizontalCentered="1"/>
  <pageMargins left="0" right="0" top="0" bottom="0" header="0" footer="0"/>
  <pageSetup paperSize="3" scale="60" fitToHeight="3" orientation="landscape"/>
  <headerFooter alignWithMargins="0">
    <oddFooter>&amp;RPage &amp;P</oddFooter>
  </headerFooter>
  <rowBreaks count="3" manualBreakCount="3">
    <brk id="72" max="21" man="1"/>
    <brk id="94" max="21" man="1"/>
    <brk id="139" max="21" man="1"/>
  </rowBreaks>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81"/>
  <sheetViews>
    <sheetView showGridLines="0" view="pageBreakPreview" topLeftCell="B1" zoomScaleSheetLayoutView="100" workbookViewId="0">
      <selection activeCell="B1" sqref="B1"/>
    </sheetView>
  </sheetViews>
  <sheetFormatPr baseColWidth="10" defaultColWidth="8.83203125" defaultRowHeight="12" x14ac:dyDescent="0"/>
  <cols>
    <col min="1" max="1" width="5.1640625" hidden="1" customWidth="1"/>
    <col min="2" max="2" width="5.1640625" style="29" customWidth="1"/>
    <col min="3" max="3" width="28.6640625" customWidth="1"/>
    <col min="4" max="4" width="9.6640625" customWidth="1"/>
    <col min="5" max="5" width="3.6640625" customWidth="1"/>
    <col min="6" max="6" width="10.6640625" customWidth="1"/>
    <col min="7" max="7" width="11.6640625" customWidth="1"/>
    <col min="8" max="8" width="8.6640625" customWidth="1"/>
    <col min="9" max="10" width="14.6640625" customWidth="1"/>
    <col min="11" max="13" width="17.6640625" customWidth="1"/>
    <col min="14" max="14" width="10.5" customWidth="1"/>
    <col min="15" max="15" width="41.6640625" style="26" customWidth="1"/>
    <col min="18" max="18" width="9.5" customWidth="1"/>
  </cols>
  <sheetData>
    <row r="1" spans="1:15" s="6" customFormat="1" ht="41.25" customHeight="1">
      <c r="B1" s="28"/>
      <c r="C1" s="7"/>
      <c r="E1" s="8"/>
      <c r="F1" s="9"/>
      <c r="G1" s="9"/>
      <c r="K1" s="42"/>
      <c r="M1" s="7"/>
      <c r="O1" s="25"/>
    </row>
    <row r="2" spans="1:15" s="6" customFormat="1" ht="13.5" customHeight="1">
      <c r="B2" s="31" t="str">
        <f>Report!A2</f>
        <v>Updated: November 18, 2013</v>
      </c>
      <c r="C2" s="31"/>
      <c r="D2" s="10"/>
      <c r="M2" s="7"/>
      <c r="O2" s="25"/>
    </row>
    <row r="3" spans="1:15" s="6" customFormat="1" ht="16.5" customHeight="1">
      <c r="B3" s="32" t="str">
        <f>Report!A3</f>
        <v>Revisions Noted in Bold</v>
      </c>
      <c r="C3" s="32"/>
      <c r="D3" s="32"/>
      <c r="E3" s="32"/>
      <c r="F3" s="32"/>
      <c r="G3" s="32"/>
      <c r="H3" s="32"/>
      <c r="I3" s="32"/>
      <c r="J3" s="32"/>
      <c r="K3" s="32"/>
      <c r="L3" s="32"/>
      <c r="M3" s="32"/>
      <c r="N3" s="32"/>
      <c r="O3" s="25"/>
    </row>
    <row r="5" spans="1:15" ht="14.5" customHeight="1">
      <c r="B5" s="526" t="s">
        <v>75</v>
      </c>
      <c r="C5" s="526"/>
      <c r="D5" s="14"/>
      <c r="E5" s="15"/>
      <c r="F5" s="16"/>
      <c r="G5" s="12"/>
      <c r="H5" s="12"/>
      <c r="I5" s="13"/>
      <c r="J5" s="17"/>
      <c r="K5" s="18"/>
      <c r="L5" s="18"/>
      <c r="M5" s="19"/>
      <c r="N5" s="20"/>
    </row>
    <row r="6" spans="1:15">
      <c r="A6" s="21" t="s">
        <v>213</v>
      </c>
      <c r="C6" s="2"/>
      <c r="D6" s="1"/>
      <c r="E6" s="2"/>
      <c r="F6" s="1"/>
      <c r="G6" s="3"/>
      <c r="H6" s="3"/>
      <c r="I6" s="2"/>
      <c r="J6" s="2"/>
      <c r="K6" s="2"/>
      <c r="L6" s="2"/>
      <c r="M6" s="11"/>
      <c r="N6" s="2"/>
    </row>
    <row r="7" spans="1:15" s="40" customFormat="1">
      <c r="A7" s="30" t="s">
        <v>97</v>
      </c>
      <c r="B7" s="199" t="s">
        <v>97</v>
      </c>
      <c r="C7" s="524" t="s">
        <v>96</v>
      </c>
      <c r="D7" s="525"/>
      <c r="E7" s="525"/>
      <c r="F7" s="525"/>
      <c r="G7" s="525"/>
      <c r="H7" s="525"/>
      <c r="I7" s="525"/>
      <c r="J7" s="525"/>
      <c r="K7" s="525"/>
      <c r="L7" s="525"/>
      <c r="M7" s="525"/>
      <c r="N7" s="525"/>
      <c r="O7" s="26"/>
    </row>
    <row r="8" spans="1:15" s="40" customFormat="1" ht="62.25" customHeight="1">
      <c r="A8" s="30" t="s">
        <v>98</v>
      </c>
      <c r="B8" s="199" t="s">
        <v>98</v>
      </c>
      <c r="C8" s="524" t="s">
        <v>239</v>
      </c>
      <c r="D8" s="527"/>
      <c r="E8" s="527"/>
      <c r="F8" s="527"/>
      <c r="G8" s="527"/>
      <c r="H8" s="527"/>
      <c r="I8" s="527"/>
      <c r="J8" s="527"/>
      <c r="K8" s="527"/>
      <c r="L8" s="527"/>
      <c r="M8" s="527"/>
      <c r="N8" s="527"/>
      <c r="O8" s="26"/>
    </row>
    <row r="9" spans="1:15" s="40" customFormat="1" ht="51" customHeight="1">
      <c r="A9" s="30" t="s">
        <v>99</v>
      </c>
      <c r="B9" s="199" t="s">
        <v>99</v>
      </c>
      <c r="C9" s="524" t="s">
        <v>108</v>
      </c>
      <c r="D9" s="525"/>
      <c r="E9" s="525"/>
      <c r="F9" s="525"/>
      <c r="G9" s="525"/>
      <c r="H9" s="525"/>
      <c r="I9" s="525"/>
      <c r="J9" s="525"/>
      <c r="K9" s="525"/>
      <c r="L9" s="525"/>
      <c r="M9" s="525"/>
      <c r="N9" s="525"/>
      <c r="O9" s="26"/>
    </row>
    <row r="10" spans="1:15" s="40" customFormat="1" ht="27" customHeight="1">
      <c r="A10" s="30" t="s">
        <v>100</v>
      </c>
      <c r="B10" s="199" t="s">
        <v>100</v>
      </c>
      <c r="C10" s="524" t="s">
        <v>128</v>
      </c>
      <c r="D10" s="525"/>
      <c r="E10" s="525"/>
      <c r="F10" s="525"/>
      <c r="G10" s="525"/>
      <c r="H10" s="525"/>
      <c r="I10" s="525"/>
      <c r="J10" s="525"/>
      <c r="K10" s="525"/>
      <c r="L10" s="525"/>
      <c r="M10" s="525"/>
      <c r="N10" s="525"/>
      <c r="O10" s="26"/>
    </row>
    <row r="11" spans="1:15" s="40" customFormat="1">
      <c r="A11" s="30" t="s">
        <v>101</v>
      </c>
      <c r="B11" s="199" t="s">
        <v>101</v>
      </c>
      <c r="C11" s="524" t="s">
        <v>109</v>
      </c>
      <c r="D11" s="525"/>
      <c r="E11" s="525"/>
      <c r="F11" s="525"/>
      <c r="G11" s="525"/>
      <c r="H11" s="525"/>
      <c r="I11" s="525"/>
      <c r="J11" s="525"/>
      <c r="K11" s="525"/>
      <c r="L11" s="525"/>
      <c r="M11" s="525"/>
      <c r="N11" s="525"/>
      <c r="O11" s="26"/>
    </row>
    <row r="12" spans="1:15" s="21" customFormat="1" ht="14.25" customHeight="1">
      <c r="A12" s="30" t="s">
        <v>102</v>
      </c>
      <c r="B12" s="199" t="s">
        <v>102</v>
      </c>
      <c r="C12" s="524" t="s">
        <v>113</v>
      </c>
      <c r="D12" s="525"/>
      <c r="E12" s="525"/>
      <c r="F12" s="525"/>
      <c r="G12" s="525"/>
      <c r="H12" s="525"/>
      <c r="I12" s="525"/>
      <c r="J12" s="525"/>
      <c r="K12" s="525"/>
      <c r="L12" s="525"/>
      <c r="M12" s="525"/>
      <c r="N12" s="525"/>
      <c r="O12" s="26"/>
    </row>
    <row r="13" spans="1:15" s="40" customFormat="1" ht="14.25" customHeight="1">
      <c r="A13" s="30" t="s">
        <v>103</v>
      </c>
      <c r="B13" s="199" t="s">
        <v>103</v>
      </c>
      <c r="C13" s="524" t="s">
        <v>3</v>
      </c>
      <c r="D13" s="525"/>
      <c r="E13" s="525"/>
      <c r="F13" s="525"/>
      <c r="G13" s="525"/>
      <c r="H13" s="525"/>
      <c r="I13" s="525"/>
      <c r="J13" s="525"/>
      <c r="K13" s="525"/>
      <c r="L13" s="525"/>
      <c r="M13" s="525"/>
      <c r="N13" s="525"/>
      <c r="O13" s="26"/>
    </row>
    <row r="14" spans="1:15" s="40" customFormat="1" ht="15" customHeight="1">
      <c r="A14" s="30" t="s">
        <v>104</v>
      </c>
      <c r="B14" s="199" t="s">
        <v>104</v>
      </c>
      <c r="C14" s="524" t="s">
        <v>2</v>
      </c>
      <c r="D14" s="525"/>
      <c r="E14" s="525"/>
      <c r="F14" s="525"/>
      <c r="G14" s="525"/>
      <c r="H14" s="525"/>
      <c r="I14" s="525"/>
      <c r="J14" s="525"/>
      <c r="K14" s="525"/>
      <c r="L14" s="525"/>
      <c r="M14" s="525"/>
      <c r="N14" s="525"/>
      <c r="O14" s="26"/>
    </row>
    <row r="15" spans="1:15" s="40" customFormat="1" ht="40.5" customHeight="1">
      <c r="A15" s="30" t="s">
        <v>105</v>
      </c>
      <c r="B15" s="199" t="s">
        <v>105</v>
      </c>
      <c r="C15" s="524" t="s">
        <v>227</v>
      </c>
      <c r="D15" s="527"/>
      <c r="E15" s="527"/>
      <c r="F15" s="527"/>
      <c r="G15" s="527"/>
      <c r="H15" s="527"/>
      <c r="I15" s="527"/>
      <c r="J15" s="527"/>
      <c r="K15" s="527"/>
      <c r="L15" s="527"/>
      <c r="M15" s="527"/>
      <c r="N15" s="527"/>
      <c r="O15" s="26"/>
    </row>
    <row r="16" spans="1:15" s="40" customFormat="1" ht="29" customHeight="1">
      <c r="A16" s="30" t="s">
        <v>106</v>
      </c>
      <c r="B16" s="199" t="s">
        <v>106</v>
      </c>
      <c r="C16" s="524" t="s">
        <v>4</v>
      </c>
      <c r="D16" s="525"/>
      <c r="E16" s="525"/>
      <c r="F16" s="525"/>
      <c r="G16" s="525"/>
      <c r="H16" s="525"/>
      <c r="I16" s="525"/>
      <c r="J16" s="525"/>
      <c r="K16" s="525"/>
      <c r="L16" s="525"/>
      <c r="M16" s="525"/>
      <c r="N16" s="525"/>
      <c r="O16" s="26"/>
    </row>
    <row r="17" spans="1:19" s="21" customFormat="1" ht="27" customHeight="1">
      <c r="A17" s="30"/>
      <c r="B17" s="402" t="s">
        <v>107</v>
      </c>
      <c r="C17" s="529" t="s">
        <v>289</v>
      </c>
      <c r="D17" s="530"/>
      <c r="E17" s="530"/>
      <c r="F17" s="530"/>
      <c r="G17" s="530"/>
      <c r="H17" s="530"/>
      <c r="I17" s="530"/>
      <c r="J17" s="530"/>
      <c r="K17" s="530"/>
      <c r="L17" s="530"/>
      <c r="M17" s="530"/>
      <c r="N17" s="530"/>
      <c r="O17" s="26"/>
    </row>
    <row r="18" spans="1:19" s="21" customFormat="1" ht="27" customHeight="1">
      <c r="A18" s="30"/>
      <c r="B18" s="502" t="s">
        <v>5</v>
      </c>
      <c r="C18" s="529" t="s">
        <v>290</v>
      </c>
      <c r="D18" s="530"/>
      <c r="E18" s="530"/>
      <c r="F18" s="530"/>
      <c r="G18" s="530"/>
      <c r="H18" s="530"/>
      <c r="I18" s="530"/>
      <c r="J18" s="530"/>
      <c r="K18" s="530"/>
      <c r="L18" s="530"/>
      <c r="M18" s="530"/>
      <c r="N18" s="530"/>
      <c r="O18" s="26"/>
    </row>
    <row r="19" spans="1:19" s="40" customFormat="1" ht="27" customHeight="1">
      <c r="A19" s="30"/>
      <c r="B19" s="402" t="s">
        <v>288</v>
      </c>
      <c r="C19" s="529" t="s">
        <v>280</v>
      </c>
      <c r="D19" s="535"/>
      <c r="E19" s="535"/>
      <c r="F19" s="535"/>
      <c r="G19" s="535"/>
      <c r="H19" s="535"/>
      <c r="I19" s="535"/>
      <c r="J19" s="535"/>
      <c r="K19" s="535"/>
      <c r="L19" s="535"/>
      <c r="M19" s="535"/>
      <c r="N19" s="535"/>
      <c r="O19" s="315"/>
    </row>
    <row r="20" spans="1:19" s="40" customFormat="1" ht="16.5" customHeight="1">
      <c r="A20" s="30"/>
      <c r="B20" s="199"/>
      <c r="C20" s="524"/>
      <c r="D20" s="524"/>
      <c r="E20" s="524"/>
      <c r="F20" s="524"/>
      <c r="G20" s="524"/>
      <c r="H20" s="524"/>
      <c r="I20" s="524"/>
      <c r="J20" s="524"/>
      <c r="K20" s="524"/>
      <c r="L20" s="524"/>
      <c r="M20" s="524"/>
      <c r="N20" s="524"/>
      <c r="O20" s="315"/>
    </row>
    <row r="21" spans="1:19" s="40" customFormat="1" ht="27.75" customHeight="1">
      <c r="A21" s="30"/>
      <c r="B21" s="199"/>
      <c r="C21" s="524"/>
      <c r="D21" s="524"/>
      <c r="E21" s="524"/>
      <c r="F21" s="524"/>
      <c r="G21" s="524"/>
      <c r="H21" s="524"/>
      <c r="I21" s="524"/>
      <c r="J21" s="524"/>
      <c r="K21" s="524"/>
      <c r="L21" s="524"/>
      <c r="M21" s="524"/>
      <c r="N21" s="524"/>
      <c r="O21" s="315"/>
    </row>
    <row r="22" spans="1:19" ht="26.25" customHeight="1">
      <c r="A22" s="29"/>
      <c r="B22" s="199"/>
      <c r="C22" s="533"/>
      <c r="D22" s="533"/>
      <c r="E22" s="533"/>
      <c r="F22" s="533"/>
      <c r="G22" s="533"/>
      <c r="H22" s="533"/>
      <c r="I22" s="533"/>
      <c r="J22" s="533"/>
      <c r="K22" s="533"/>
      <c r="L22" s="533"/>
      <c r="M22" s="533"/>
      <c r="N22" s="533"/>
      <c r="O22" s="315"/>
    </row>
    <row r="23" spans="1:19" ht="17.25" customHeight="1">
      <c r="A23" s="28"/>
      <c r="B23" s="199"/>
      <c r="C23" s="524"/>
      <c r="D23" s="525"/>
      <c r="E23" s="525"/>
      <c r="F23" s="525"/>
      <c r="G23" s="525"/>
      <c r="H23" s="525"/>
      <c r="I23" s="525"/>
      <c r="J23" s="525"/>
      <c r="K23" s="525"/>
      <c r="L23" s="525"/>
      <c r="M23" s="525"/>
      <c r="N23" s="525"/>
      <c r="O23" s="315"/>
      <c r="S23" s="24"/>
    </row>
    <row r="24" spans="1:19" ht="24" customHeight="1">
      <c r="A24" s="28"/>
      <c r="B24" s="199"/>
      <c r="C24" s="532"/>
      <c r="D24" s="532"/>
      <c r="E24" s="532"/>
      <c r="F24" s="532"/>
      <c r="G24" s="532"/>
      <c r="H24" s="532"/>
      <c r="I24" s="532"/>
      <c r="J24" s="532"/>
      <c r="K24" s="532"/>
      <c r="L24" s="532"/>
      <c r="M24" s="532"/>
      <c r="N24" s="532"/>
      <c r="O24" s="315"/>
      <c r="S24" s="24"/>
    </row>
    <row r="25" spans="1:19" ht="16.5" customHeight="1">
      <c r="A25" s="57"/>
      <c r="B25" s="199"/>
      <c r="C25" s="534"/>
      <c r="D25" s="534"/>
      <c r="E25" s="534"/>
      <c r="F25" s="534"/>
      <c r="G25" s="534"/>
      <c r="H25" s="534"/>
      <c r="I25" s="534"/>
      <c r="J25" s="534"/>
      <c r="K25" s="534"/>
      <c r="L25" s="534"/>
      <c r="M25" s="534"/>
      <c r="N25" s="534"/>
      <c r="O25" s="315"/>
      <c r="S25" s="24"/>
    </row>
    <row r="26" spans="1:19" ht="12.75" customHeight="1">
      <c r="A26" s="283"/>
      <c r="B26" s="402"/>
      <c r="C26" s="531"/>
      <c r="D26" s="531"/>
      <c r="E26" s="531"/>
      <c r="F26" s="531"/>
      <c r="G26" s="531"/>
      <c r="H26" s="531"/>
      <c r="I26" s="531"/>
      <c r="J26" s="531"/>
      <c r="K26" s="531"/>
      <c r="L26" s="531"/>
      <c r="M26" s="531"/>
      <c r="N26" s="21"/>
      <c r="O26" s="315"/>
      <c r="S26" s="24"/>
    </row>
    <row r="27" spans="1:19">
      <c r="B27" s="199"/>
      <c r="C27" s="528"/>
      <c r="D27" s="528"/>
      <c r="E27" s="528"/>
      <c r="F27" s="528"/>
      <c r="G27" s="528"/>
      <c r="H27" s="528"/>
      <c r="I27" s="528"/>
      <c r="J27" s="528"/>
      <c r="K27" s="528"/>
      <c r="L27" s="528"/>
      <c r="M27" s="528"/>
      <c r="O27" s="315"/>
      <c r="S27" s="24"/>
    </row>
    <row r="28" spans="1:19" ht="28.5" customHeight="1">
      <c r="B28" s="199"/>
      <c r="C28" s="528"/>
      <c r="D28" s="528"/>
      <c r="E28" s="528"/>
      <c r="F28" s="528"/>
      <c r="G28" s="528"/>
      <c r="H28" s="528"/>
      <c r="I28" s="528"/>
      <c r="J28" s="528"/>
      <c r="K28" s="528"/>
      <c r="L28" s="528"/>
      <c r="M28" s="528"/>
      <c r="S28" s="24"/>
    </row>
    <row r="29" spans="1:19">
      <c r="S29" s="24"/>
    </row>
    <row r="30" spans="1:19">
      <c r="S30" s="24"/>
    </row>
    <row r="31" spans="1:19">
      <c r="S31" s="24"/>
    </row>
    <row r="32" spans="1:19">
      <c r="S32" s="24"/>
    </row>
    <row r="33" spans="19:19">
      <c r="S33" s="24"/>
    </row>
    <row r="34" spans="19:19">
      <c r="S34" s="24"/>
    </row>
    <row r="35" spans="19:19">
      <c r="S35" s="24"/>
    </row>
    <row r="36" spans="19:19">
      <c r="S36" s="24"/>
    </row>
    <row r="37" spans="19:19">
      <c r="S37" s="24"/>
    </row>
    <row r="38" spans="19:19">
      <c r="S38" s="24"/>
    </row>
    <row r="39" spans="19:19">
      <c r="S39" s="24"/>
    </row>
    <row r="40" spans="19:19">
      <c r="S40" s="24"/>
    </row>
    <row r="41" spans="19:19">
      <c r="S41" s="24"/>
    </row>
    <row r="42" spans="19:19">
      <c r="S42" s="24"/>
    </row>
    <row r="43" spans="19:19">
      <c r="S43" s="24"/>
    </row>
    <row r="44" spans="19:19">
      <c r="S44" s="24"/>
    </row>
    <row r="45" spans="19:19">
      <c r="S45" s="24"/>
    </row>
    <row r="46" spans="19:19">
      <c r="S46" s="24"/>
    </row>
    <row r="47" spans="19:19">
      <c r="S47" s="24"/>
    </row>
    <row r="48" spans="19:19">
      <c r="S48" s="24"/>
    </row>
    <row r="49" spans="19:19">
      <c r="S49" s="24"/>
    </row>
    <row r="50" spans="19:19">
      <c r="S50" s="24"/>
    </row>
    <row r="51" spans="19:19">
      <c r="S51" s="24"/>
    </row>
    <row r="52" spans="19:19">
      <c r="S52" s="24"/>
    </row>
    <row r="53" spans="19:19">
      <c r="S53" s="24"/>
    </row>
    <row r="54" spans="19:19">
      <c r="S54" s="24"/>
    </row>
    <row r="55" spans="19:19">
      <c r="S55" s="24"/>
    </row>
    <row r="56" spans="19:19">
      <c r="S56" s="24"/>
    </row>
    <row r="57" spans="19:19">
      <c r="S57" s="24"/>
    </row>
    <row r="58" spans="19:19">
      <c r="S58" s="24"/>
    </row>
    <row r="59" spans="19:19">
      <c r="S59" s="24"/>
    </row>
    <row r="60" spans="19:19">
      <c r="S60" s="24"/>
    </row>
    <row r="61" spans="19:19">
      <c r="S61" s="24"/>
    </row>
    <row r="62" spans="19:19">
      <c r="S62" s="24"/>
    </row>
    <row r="63" spans="19:19">
      <c r="S63" s="24"/>
    </row>
    <row r="64" spans="19:19">
      <c r="S64" s="24"/>
    </row>
    <row r="65" spans="19:19">
      <c r="S65" s="24"/>
    </row>
    <row r="66" spans="19:19">
      <c r="S66" s="24"/>
    </row>
    <row r="67" spans="19:19">
      <c r="S67" s="24"/>
    </row>
    <row r="68" spans="19:19">
      <c r="S68" s="24"/>
    </row>
    <row r="69" spans="19:19">
      <c r="S69" s="24"/>
    </row>
    <row r="70" spans="19:19">
      <c r="S70" s="24"/>
    </row>
    <row r="71" spans="19:19">
      <c r="S71" s="24"/>
    </row>
    <row r="72" spans="19:19">
      <c r="S72" s="24"/>
    </row>
    <row r="73" spans="19:19">
      <c r="S73" s="24"/>
    </row>
    <row r="74" spans="19:19">
      <c r="S74" s="24"/>
    </row>
    <row r="75" spans="19:19">
      <c r="S75" s="24"/>
    </row>
    <row r="76" spans="19:19">
      <c r="S76" s="24"/>
    </row>
    <row r="77" spans="19:19">
      <c r="S77" s="24"/>
    </row>
    <row r="78" spans="19:19">
      <c r="S78" s="24"/>
    </row>
    <row r="79" spans="19:19">
      <c r="S79" s="24"/>
    </row>
    <row r="80" spans="19:19">
      <c r="S80" s="24"/>
    </row>
    <row r="81" spans="19:19">
      <c r="S81" s="24"/>
    </row>
  </sheetData>
  <customSheetViews>
    <customSheetView guid="{6B3EFEE6-6D4B-487B-9131-15FDA5ABAE22}" showPageBreaks="1" fitToPage="1" printArea="1" view="pageBreakPreview" showRuler="0" topLeftCell="A18">
      <selection activeCell="A21" sqref="A21"/>
      <rowBreaks count="2" manualBreakCount="2">
        <brk id="37" max="11" man="1"/>
        <brk id="40" max="11" man="1"/>
      </rowBreaks>
      <pageSetup scale="61" fitToHeight="2" orientation="portrait"/>
      <headerFooter alignWithMargins="0">
        <oddFooter>&amp;RPage &amp;P</oddFooter>
      </headerFooter>
    </customSheetView>
    <customSheetView guid="{2B5E9AF3-7E15-4FFC-BC57-F18A8661CB86}" showPageBreaks="1" fitToPage="1" printArea="1" view="pageBreakPreview" showRuler="0" topLeftCell="A33">
      <selection activeCell="A46" sqref="A46"/>
      <rowBreaks count="2" manualBreakCount="2">
        <brk id="37" max="11" man="1"/>
        <brk id="40" max="11" man="1"/>
      </rowBreaks>
      <pageSetup scale="61" fitToHeight="2" orientation="portrait"/>
      <headerFooter alignWithMargins="0">
        <oddFooter>&amp;RPage &amp;P</oddFooter>
      </headerFooter>
    </customSheetView>
  </customSheetViews>
  <mergeCells count="23">
    <mergeCell ref="C28:M28"/>
    <mergeCell ref="C16:N16"/>
    <mergeCell ref="C20:N20"/>
    <mergeCell ref="C14:N14"/>
    <mergeCell ref="C15:N15"/>
    <mergeCell ref="C17:N17"/>
    <mergeCell ref="C26:M26"/>
    <mergeCell ref="C27:M27"/>
    <mergeCell ref="C24:N24"/>
    <mergeCell ref="C23:N23"/>
    <mergeCell ref="C22:N22"/>
    <mergeCell ref="C25:N25"/>
    <mergeCell ref="C21:N21"/>
    <mergeCell ref="C19:N19"/>
    <mergeCell ref="C18:N18"/>
    <mergeCell ref="C11:N11"/>
    <mergeCell ref="C12:N12"/>
    <mergeCell ref="C13:N13"/>
    <mergeCell ref="B5:C5"/>
    <mergeCell ref="C9:N9"/>
    <mergeCell ref="C7:N7"/>
    <mergeCell ref="C8:N8"/>
    <mergeCell ref="C10:N10"/>
  </mergeCells>
  <phoneticPr fontId="16" type="noConversion"/>
  <printOptions horizontalCentered="1"/>
  <pageMargins left="0.5" right="0.5" top="0.5" bottom="0.5" header="0.25" footer="0.25"/>
  <pageSetup scale="55" fitToHeight="2" orientation="portrait"/>
  <headerFooter alignWithMargins="0"/>
  <colBreaks count="1" manualBreakCount="1">
    <brk id="14" max="36" man="1"/>
  </colBreaks>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pageSetUpPr fitToPage="1"/>
  </sheetPr>
  <dimension ref="A1:P168"/>
  <sheetViews>
    <sheetView view="pageBreakPreview" zoomScale="85" zoomScaleSheetLayoutView="85" workbookViewId="0">
      <selection activeCell="A2" sqref="A2"/>
    </sheetView>
  </sheetViews>
  <sheetFormatPr baseColWidth="10" defaultColWidth="8.83203125" defaultRowHeight="12" x14ac:dyDescent="0"/>
  <cols>
    <col min="1" max="1" width="31.6640625" style="62" customWidth="1"/>
    <col min="2" max="2" width="13.6640625" style="62" customWidth="1"/>
    <col min="3" max="16" width="8.83203125" style="62"/>
    <col min="17" max="17" width="9.5" style="104" customWidth="1"/>
    <col min="18" max="16384" width="8.83203125" style="104"/>
  </cols>
  <sheetData>
    <row r="1" spans="1:16" s="60" customFormat="1" ht="41.25" customHeight="1">
      <c r="C1" s="61"/>
      <c r="D1" s="100"/>
      <c r="E1" s="100"/>
      <c r="J1" s="101"/>
    </row>
    <row r="2" spans="1:16" s="60" customFormat="1" ht="13.5" customHeight="1">
      <c r="A2" s="102" t="str">
        <f>Report!A2</f>
        <v>Updated: November 18, 2013</v>
      </c>
      <c r="B2" s="103"/>
    </row>
    <row r="3" spans="1:16" s="60" customFormat="1" ht="16.5" customHeight="1">
      <c r="A3" s="536" t="str">
        <f>Report!A3</f>
        <v>Revisions Noted in Bold</v>
      </c>
      <c r="B3" s="537"/>
      <c r="C3" s="537"/>
      <c r="D3" s="537"/>
      <c r="E3" s="537"/>
      <c r="F3" s="537"/>
      <c r="G3" s="537"/>
      <c r="H3" s="537"/>
      <c r="I3" s="537"/>
      <c r="J3" s="537"/>
      <c r="K3" s="537"/>
      <c r="L3" s="537"/>
    </row>
    <row r="5" spans="1:16" ht="16.5" customHeight="1">
      <c r="A5" s="87" t="s">
        <v>86</v>
      </c>
      <c r="B5" s="80"/>
      <c r="C5" s="93"/>
      <c r="D5" s="88"/>
      <c r="E5" s="89"/>
      <c r="F5" s="88"/>
      <c r="G5" s="88"/>
      <c r="H5" s="90"/>
      <c r="I5" s="88"/>
      <c r="J5" s="88"/>
      <c r="K5" s="88"/>
      <c r="L5" s="88"/>
      <c r="M5" s="88"/>
      <c r="N5" s="88"/>
      <c r="O5" s="91"/>
      <c r="P5" s="91"/>
    </row>
    <row r="6" spans="1:16" ht="17">
      <c r="A6" s="105" t="s">
        <v>15</v>
      </c>
      <c r="B6" s="106" t="s">
        <v>88</v>
      </c>
      <c r="C6" s="107"/>
      <c r="D6" s="107"/>
      <c r="E6" s="107"/>
      <c r="F6" s="107"/>
      <c r="G6" s="107"/>
      <c r="H6" s="107"/>
      <c r="I6" s="107"/>
      <c r="J6" s="107"/>
      <c r="K6" s="107"/>
      <c r="L6" s="107"/>
      <c r="M6" s="107"/>
      <c r="N6" s="107"/>
      <c r="O6" s="107"/>
      <c r="P6" s="107"/>
    </row>
    <row r="7" spans="1:16" ht="15">
      <c r="A7" s="94" t="s">
        <v>256</v>
      </c>
      <c r="B7" s="95"/>
      <c r="C7" s="93"/>
      <c r="D7" s="80"/>
      <c r="E7" s="81"/>
      <c r="F7" s="80"/>
      <c r="G7" s="80"/>
      <c r="H7" s="80"/>
      <c r="I7" s="80"/>
      <c r="J7" s="80"/>
      <c r="K7" s="80"/>
      <c r="L7" s="80"/>
      <c r="M7" s="80"/>
      <c r="N7" s="80"/>
      <c r="O7" s="82"/>
      <c r="P7" s="82"/>
    </row>
    <row r="8" spans="1:16" ht="9" customHeight="1">
      <c r="A8" s="108"/>
      <c r="B8" s="108"/>
      <c r="C8" s="108"/>
      <c r="D8" s="108"/>
      <c r="E8" s="108"/>
      <c r="F8" s="108"/>
      <c r="G8" s="108"/>
      <c r="H8" s="108"/>
      <c r="I8" s="108"/>
      <c r="J8" s="108"/>
      <c r="K8" s="108"/>
      <c r="L8" s="108"/>
      <c r="M8" s="54"/>
      <c r="N8" s="54"/>
      <c r="O8" s="54"/>
      <c r="P8" s="54"/>
    </row>
    <row r="9" spans="1:16" s="116" customFormat="1" ht="13.5" customHeight="1">
      <c r="A9" s="380" t="s">
        <v>94</v>
      </c>
      <c r="B9" s="381">
        <v>40483</v>
      </c>
      <c r="C9" s="384"/>
      <c r="D9" s="384"/>
      <c r="E9" s="378"/>
      <c r="F9" s="378"/>
      <c r="G9" s="378"/>
      <c r="H9" s="378"/>
      <c r="I9" s="378"/>
      <c r="J9" s="378"/>
      <c r="K9" s="378"/>
      <c r="L9" s="378"/>
      <c r="M9" s="378"/>
      <c r="N9" s="378"/>
      <c r="O9" s="378"/>
      <c r="P9" s="378"/>
    </row>
    <row r="10" spans="1:16" s="116" customFormat="1">
      <c r="A10" s="380" t="s">
        <v>84</v>
      </c>
      <c r="B10" s="381">
        <v>41535</v>
      </c>
      <c r="C10" s="108"/>
      <c r="D10" s="108"/>
      <c r="E10" s="108"/>
      <c r="F10" s="108"/>
      <c r="G10" s="108"/>
      <c r="H10" s="108"/>
      <c r="I10" s="108"/>
      <c r="J10" s="108"/>
      <c r="K10" s="108"/>
      <c r="L10" s="108"/>
      <c r="M10" s="54"/>
      <c r="N10" s="54"/>
      <c r="O10" s="54"/>
      <c r="P10" s="54"/>
    </row>
    <row r="11" spans="1:16">
      <c r="A11" s="380" t="s">
        <v>184</v>
      </c>
      <c r="B11" s="381">
        <v>41522</v>
      </c>
      <c r="C11" s="108"/>
      <c r="D11" s="108"/>
      <c r="E11" s="108"/>
      <c r="F11" s="108"/>
      <c r="G11" s="108"/>
      <c r="H11" s="108"/>
      <c r="I11" s="108"/>
      <c r="J11" s="108"/>
      <c r="K11" s="108"/>
      <c r="L11" s="108"/>
      <c r="M11" s="54"/>
      <c r="N11" s="54"/>
      <c r="O11" s="54"/>
      <c r="P11" s="54"/>
    </row>
    <row r="12" spans="1:16" ht="15">
      <c r="A12" s="94" t="s">
        <v>243</v>
      </c>
      <c r="B12" s="95"/>
      <c r="C12" s="93"/>
      <c r="D12" s="80"/>
      <c r="E12" s="81"/>
      <c r="F12" s="80"/>
      <c r="G12" s="80"/>
      <c r="H12" s="80"/>
      <c r="I12" s="80"/>
      <c r="J12" s="80"/>
      <c r="K12" s="80"/>
      <c r="L12" s="80"/>
      <c r="M12" s="80"/>
      <c r="N12" s="80"/>
      <c r="O12" s="82"/>
      <c r="P12" s="82"/>
    </row>
    <row r="13" spans="1:16" ht="9" customHeight="1">
      <c r="A13" s="108"/>
      <c r="B13" s="108"/>
      <c r="C13" s="108"/>
      <c r="D13" s="108"/>
      <c r="E13" s="108"/>
      <c r="F13" s="108"/>
      <c r="G13" s="108"/>
      <c r="H13" s="108"/>
      <c r="I13" s="108"/>
      <c r="J13" s="108"/>
      <c r="K13" s="108"/>
      <c r="L13" s="108"/>
      <c r="M13" s="54"/>
      <c r="N13" s="54"/>
      <c r="O13" s="54"/>
      <c r="P13" s="54"/>
    </row>
    <row r="14" spans="1:16" s="60" customFormat="1" ht="12.75" customHeight="1">
      <c r="A14" s="117" t="s">
        <v>8</v>
      </c>
      <c r="B14" s="118" t="s">
        <v>87</v>
      </c>
      <c r="C14" s="224"/>
      <c r="D14" s="224"/>
      <c r="E14" s="225"/>
      <c r="F14" s="225"/>
      <c r="G14" s="226"/>
      <c r="H14" s="226"/>
      <c r="I14" s="226"/>
      <c r="J14" s="84"/>
      <c r="K14" s="227"/>
      <c r="L14" s="119"/>
      <c r="M14" s="85"/>
      <c r="N14" s="85"/>
      <c r="O14" s="85"/>
      <c r="P14" s="85"/>
    </row>
    <row r="15" spans="1:16" s="60" customFormat="1" ht="12.75" customHeight="1">
      <c r="A15" s="323" t="s">
        <v>242</v>
      </c>
      <c r="B15" s="110">
        <v>40187</v>
      </c>
      <c r="C15" s="324"/>
      <c r="D15" s="324"/>
      <c r="E15" s="325"/>
      <c r="F15" s="325"/>
      <c r="G15" s="326"/>
      <c r="H15" s="326"/>
      <c r="I15" s="326"/>
      <c r="J15" s="35"/>
      <c r="K15" s="327"/>
      <c r="L15" s="112"/>
      <c r="M15" s="54"/>
      <c r="N15" s="54"/>
      <c r="O15" s="54"/>
      <c r="P15" s="54"/>
    </row>
    <row r="16" spans="1:16" s="60" customFormat="1" ht="12.75" customHeight="1">
      <c r="A16" s="322" t="s">
        <v>111</v>
      </c>
      <c r="B16" s="118">
        <v>40642</v>
      </c>
      <c r="C16" s="224"/>
      <c r="D16" s="224"/>
      <c r="E16" s="225"/>
      <c r="F16" s="225"/>
      <c r="G16" s="226"/>
      <c r="H16" s="226"/>
      <c r="I16" s="226"/>
      <c r="J16" s="84"/>
      <c r="K16" s="227"/>
      <c r="L16" s="119"/>
      <c r="M16" s="85"/>
      <c r="N16" s="85"/>
      <c r="O16" s="85"/>
      <c r="P16" s="85"/>
    </row>
    <row r="17" spans="1:16" s="60" customFormat="1">
      <c r="A17" s="109" t="s">
        <v>112</v>
      </c>
      <c r="B17" s="110">
        <v>40646</v>
      </c>
      <c r="C17" s="113"/>
      <c r="D17" s="113"/>
      <c r="E17" s="111"/>
      <c r="F17" s="111"/>
      <c r="G17" s="56"/>
      <c r="H17" s="56"/>
      <c r="I17" s="56"/>
      <c r="J17" s="35"/>
      <c r="K17" s="112"/>
      <c r="L17" s="112"/>
      <c r="M17" s="54"/>
      <c r="N17" s="54"/>
      <c r="O17" s="54"/>
      <c r="P17" s="54"/>
    </row>
    <row r="18" spans="1:16" s="60" customFormat="1" ht="12.75" customHeight="1">
      <c r="A18" s="383" t="s">
        <v>187</v>
      </c>
      <c r="B18" s="382">
        <v>41456</v>
      </c>
      <c r="C18" s="224"/>
      <c r="D18" s="224"/>
      <c r="E18" s="225"/>
      <c r="F18" s="225"/>
      <c r="G18" s="226"/>
      <c r="H18" s="226"/>
      <c r="I18" s="226"/>
      <c r="J18" s="84"/>
      <c r="K18" s="227"/>
      <c r="L18" s="119"/>
      <c r="M18" s="85"/>
      <c r="N18" s="85"/>
      <c r="O18" s="85"/>
      <c r="P18" s="85"/>
    </row>
    <row r="19" spans="1:16" s="60" customFormat="1" ht="12.75" customHeight="1">
      <c r="A19" s="323"/>
      <c r="B19" s="110"/>
      <c r="C19" s="324"/>
      <c r="D19" s="324"/>
      <c r="E19" s="325"/>
      <c r="F19" s="325"/>
      <c r="G19" s="326"/>
      <c r="H19" s="326"/>
      <c r="I19" s="326"/>
      <c r="J19" s="35"/>
      <c r="K19" s="327"/>
      <c r="L19" s="112"/>
      <c r="M19" s="54"/>
      <c r="N19" s="54"/>
      <c r="O19" s="54"/>
      <c r="P19" s="54"/>
    </row>
    <row r="20" spans="1:16" s="60" customFormat="1" ht="15.75" customHeight="1">
      <c r="A20" s="385" t="s">
        <v>257</v>
      </c>
      <c r="B20" s="386"/>
      <c r="C20" s="387"/>
      <c r="D20" s="388"/>
      <c r="E20" s="389"/>
      <c r="F20" s="388"/>
      <c r="G20" s="388"/>
      <c r="H20" s="390"/>
      <c r="I20" s="388"/>
      <c r="J20" s="388"/>
      <c r="K20" s="388"/>
      <c r="L20" s="388"/>
      <c r="M20" s="388"/>
      <c r="N20" s="388"/>
      <c r="O20" s="91"/>
      <c r="P20" s="91"/>
    </row>
    <row r="21" spans="1:16">
      <c r="A21" s="380" t="s">
        <v>116</v>
      </c>
      <c r="B21" s="381">
        <v>41501</v>
      </c>
      <c r="C21" s="380"/>
      <c r="D21" s="380"/>
      <c r="E21" s="380"/>
      <c r="F21" s="380"/>
      <c r="G21" s="380"/>
      <c r="H21" s="380"/>
      <c r="I21" s="380"/>
      <c r="J21" s="380"/>
      <c r="K21" s="380"/>
      <c r="L21" s="380"/>
      <c r="M21" s="54"/>
      <c r="N21" s="54"/>
      <c r="O21" s="54"/>
      <c r="P21" s="54"/>
    </row>
    <row r="22" spans="1:16">
      <c r="A22" s="380"/>
      <c r="B22" s="379"/>
      <c r="C22" s="380"/>
      <c r="D22" s="380"/>
      <c r="E22" s="380"/>
      <c r="F22" s="380"/>
      <c r="G22" s="380"/>
      <c r="H22" s="380"/>
      <c r="I22" s="380"/>
      <c r="J22" s="380"/>
      <c r="K22" s="380"/>
      <c r="L22" s="380"/>
      <c r="M22" s="54"/>
      <c r="N22" s="54"/>
      <c r="O22" s="54"/>
      <c r="P22" s="54"/>
    </row>
    <row r="23" spans="1:16">
      <c r="A23" s="108" t="s">
        <v>89</v>
      </c>
      <c r="B23" s="108"/>
      <c r="C23" s="108"/>
      <c r="D23" s="108"/>
      <c r="E23" s="108"/>
      <c r="F23" s="108"/>
      <c r="G23" s="108"/>
      <c r="H23" s="108"/>
      <c r="I23" s="108"/>
      <c r="J23" s="108"/>
      <c r="K23" s="108"/>
      <c r="L23" s="108"/>
      <c r="M23" s="54"/>
      <c r="N23" s="54"/>
      <c r="O23" s="54"/>
      <c r="P23" s="54"/>
    </row>
    <row r="24" spans="1:16" ht="39" customHeight="1">
      <c r="A24" s="538" t="s">
        <v>6</v>
      </c>
      <c r="B24" s="539"/>
      <c r="C24" s="539"/>
      <c r="D24" s="539"/>
      <c r="E24" s="539"/>
      <c r="F24" s="539"/>
      <c r="G24" s="539"/>
      <c r="H24" s="539"/>
      <c r="I24" s="539"/>
      <c r="J24" s="539"/>
      <c r="K24" s="539"/>
      <c r="L24" s="539"/>
      <c r="M24" s="539"/>
      <c r="N24" s="539"/>
      <c r="O24" s="539"/>
      <c r="P24" s="539"/>
    </row>
    <row r="25" spans="1:16">
      <c r="A25" s="104"/>
      <c r="B25" s="104"/>
      <c r="C25" s="104"/>
      <c r="D25" s="104"/>
      <c r="E25" s="104"/>
      <c r="F25" s="104"/>
      <c r="G25" s="104"/>
      <c r="H25" s="104"/>
      <c r="I25" s="104"/>
      <c r="J25" s="104"/>
      <c r="K25" s="104"/>
      <c r="L25" s="104"/>
      <c r="M25" s="104"/>
      <c r="N25" s="104"/>
      <c r="O25" s="104"/>
      <c r="P25" s="104"/>
    </row>
    <row r="26" spans="1:16">
      <c r="A26" s="104"/>
      <c r="B26" s="104"/>
      <c r="C26" s="104"/>
      <c r="D26" s="104"/>
      <c r="E26" s="104"/>
      <c r="F26" s="104"/>
      <c r="G26" s="104"/>
      <c r="H26" s="104"/>
      <c r="I26" s="104"/>
      <c r="J26" s="104"/>
      <c r="K26" s="104"/>
      <c r="L26" s="104"/>
      <c r="M26" s="104"/>
      <c r="N26" s="104"/>
      <c r="O26" s="104"/>
      <c r="P26" s="104"/>
    </row>
    <row r="27" spans="1:16">
      <c r="A27" s="104"/>
      <c r="B27" s="104"/>
      <c r="C27" s="104"/>
      <c r="D27" s="104"/>
      <c r="E27" s="104"/>
      <c r="F27" s="104"/>
      <c r="G27" s="104"/>
      <c r="H27" s="104"/>
      <c r="I27" s="104"/>
      <c r="J27" s="104"/>
      <c r="K27" s="104"/>
      <c r="L27" s="104"/>
      <c r="M27" s="104"/>
      <c r="N27" s="104"/>
      <c r="O27" s="104"/>
      <c r="P27" s="104"/>
    </row>
    <row r="28" spans="1:16">
      <c r="A28" s="104"/>
      <c r="B28" s="104"/>
      <c r="C28" s="104"/>
      <c r="D28" s="104"/>
      <c r="E28" s="104"/>
      <c r="F28" s="104"/>
      <c r="G28" s="104"/>
      <c r="H28" s="104"/>
      <c r="I28" s="104"/>
      <c r="J28" s="104"/>
      <c r="K28" s="104"/>
      <c r="L28" s="104"/>
      <c r="M28" s="104"/>
      <c r="N28" s="104"/>
      <c r="O28" s="104"/>
      <c r="P28" s="104"/>
    </row>
    <row r="29" spans="1:16">
      <c r="A29" s="104"/>
      <c r="B29" s="104"/>
      <c r="C29" s="104"/>
      <c r="D29" s="104"/>
      <c r="E29" s="104"/>
      <c r="F29" s="104"/>
      <c r="G29" s="104"/>
      <c r="H29" s="104"/>
      <c r="I29" s="104"/>
      <c r="J29" s="104"/>
      <c r="K29" s="104"/>
      <c r="L29" s="104"/>
      <c r="M29" s="104"/>
      <c r="N29" s="104"/>
      <c r="O29" s="104"/>
      <c r="P29" s="104"/>
    </row>
    <row r="30" spans="1:16">
      <c r="A30" s="104"/>
      <c r="B30" s="104"/>
      <c r="C30" s="104"/>
      <c r="D30" s="104"/>
      <c r="E30" s="104"/>
      <c r="F30" s="104"/>
      <c r="G30" s="104"/>
      <c r="H30" s="104"/>
      <c r="I30" s="104"/>
      <c r="J30" s="104"/>
      <c r="K30" s="104"/>
      <c r="L30" s="104"/>
      <c r="M30" s="104"/>
      <c r="N30" s="104"/>
      <c r="O30" s="104"/>
      <c r="P30" s="104"/>
    </row>
    <row r="31" spans="1:16">
      <c r="A31" s="104"/>
      <c r="B31" s="104"/>
      <c r="C31" s="104"/>
      <c r="D31" s="104"/>
      <c r="E31" s="104"/>
      <c r="F31" s="104"/>
      <c r="G31" s="104"/>
      <c r="H31" s="104"/>
      <c r="I31" s="104"/>
      <c r="J31" s="104"/>
      <c r="K31" s="104"/>
      <c r="L31" s="104"/>
      <c r="M31" s="104"/>
      <c r="N31" s="104"/>
      <c r="O31" s="104"/>
      <c r="P31" s="104"/>
    </row>
    <row r="32" spans="1:16">
      <c r="A32" s="104"/>
      <c r="B32" s="104"/>
      <c r="C32" s="104"/>
      <c r="D32" s="104"/>
      <c r="E32" s="104"/>
      <c r="F32" s="104"/>
      <c r="G32" s="104"/>
      <c r="H32" s="104"/>
      <c r="I32" s="104"/>
      <c r="J32" s="104"/>
      <c r="K32" s="104"/>
      <c r="L32" s="104"/>
      <c r="M32" s="104"/>
      <c r="N32" s="104"/>
      <c r="O32" s="104"/>
      <c r="P32" s="104"/>
    </row>
    <row r="33" spans="1:16">
      <c r="A33" s="104"/>
      <c r="B33" s="104"/>
      <c r="C33" s="104"/>
      <c r="D33" s="104"/>
      <c r="E33" s="104"/>
      <c r="F33" s="104"/>
      <c r="G33" s="104"/>
      <c r="H33" s="104"/>
      <c r="I33" s="104"/>
      <c r="J33" s="104"/>
      <c r="K33" s="104"/>
      <c r="L33" s="104"/>
      <c r="M33" s="104"/>
      <c r="N33" s="104"/>
      <c r="O33" s="104"/>
      <c r="P33" s="104"/>
    </row>
    <row r="34" spans="1:16">
      <c r="A34" s="104"/>
      <c r="B34" s="104"/>
      <c r="C34" s="104"/>
      <c r="D34" s="104"/>
      <c r="E34" s="104"/>
      <c r="F34" s="104"/>
      <c r="G34" s="104"/>
      <c r="H34" s="104"/>
      <c r="I34" s="104"/>
      <c r="J34" s="104"/>
      <c r="K34" s="104"/>
      <c r="L34" s="104"/>
      <c r="M34" s="104"/>
      <c r="N34" s="104"/>
      <c r="O34" s="104"/>
      <c r="P34" s="104"/>
    </row>
    <row r="35" spans="1:16">
      <c r="A35" s="104"/>
      <c r="B35" s="104"/>
      <c r="C35" s="104"/>
      <c r="D35" s="60"/>
      <c r="E35" s="60"/>
      <c r="F35" s="60"/>
      <c r="G35" s="104"/>
      <c r="H35" s="104"/>
      <c r="I35" s="104"/>
      <c r="J35" s="104"/>
      <c r="K35" s="104"/>
      <c r="L35" s="104"/>
      <c r="M35" s="104"/>
      <c r="N35" s="104"/>
      <c r="O35" s="104"/>
      <c r="P35" s="104"/>
    </row>
    <row r="36" spans="1:16">
      <c r="A36" s="104"/>
      <c r="B36" s="104"/>
      <c r="C36" s="104"/>
      <c r="D36" s="60"/>
      <c r="E36" s="60"/>
      <c r="F36" s="60"/>
      <c r="G36" s="104"/>
      <c r="H36" s="104"/>
      <c r="I36" s="104"/>
      <c r="J36" s="104"/>
      <c r="K36" s="104"/>
      <c r="L36" s="104"/>
      <c r="M36" s="104"/>
      <c r="N36" s="104"/>
      <c r="O36" s="104"/>
      <c r="P36" s="104"/>
    </row>
    <row r="37" spans="1:16">
      <c r="A37" s="104"/>
      <c r="B37" s="104"/>
      <c r="C37" s="104"/>
      <c r="D37" s="60"/>
      <c r="E37" s="60"/>
      <c r="F37" s="60"/>
      <c r="G37" s="104"/>
      <c r="H37" s="104"/>
      <c r="I37" s="104"/>
      <c r="J37" s="104"/>
      <c r="K37" s="104"/>
      <c r="L37" s="104"/>
      <c r="M37" s="104"/>
      <c r="N37" s="104"/>
      <c r="O37" s="104"/>
      <c r="P37" s="104"/>
    </row>
    <row r="38" spans="1:16">
      <c r="A38" s="104"/>
      <c r="B38" s="104"/>
      <c r="C38" s="104"/>
      <c r="D38" s="60"/>
      <c r="E38" s="60"/>
      <c r="F38" s="60"/>
      <c r="G38" s="104"/>
      <c r="H38" s="104"/>
      <c r="I38" s="104"/>
      <c r="J38" s="104"/>
      <c r="K38" s="104"/>
      <c r="L38" s="104"/>
      <c r="M38" s="104"/>
      <c r="N38" s="104"/>
      <c r="O38" s="104"/>
      <c r="P38" s="104"/>
    </row>
    <row r="39" spans="1:16">
      <c r="A39" s="104"/>
      <c r="B39" s="104"/>
      <c r="C39" s="104"/>
      <c r="D39" s="60"/>
      <c r="E39" s="60"/>
      <c r="F39" s="60"/>
      <c r="G39" s="104"/>
      <c r="H39" s="104"/>
      <c r="I39" s="104"/>
      <c r="J39" s="104"/>
      <c r="K39" s="104"/>
      <c r="L39" s="104"/>
      <c r="M39" s="104"/>
      <c r="N39" s="104"/>
      <c r="O39" s="104"/>
      <c r="P39" s="104"/>
    </row>
    <row r="40" spans="1:16">
      <c r="A40" s="104"/>
      <c r="B40" s="104"/>
      <c r="C40" s="104"/>
      <c r="D40" s="60"/>
      <c r="E40" s="60"/>
      <c r="F40" s="60"/>
      <c r="G40" s="104"/>
      <c r="H40" s="104"/>
      <c r="I40" s="104"/>
      <c r="J40" s="104"/>
      <c r="K40" s="104"/>
      <c r="L40" s="104"/>
      <c r="M40" s="104"/>
      <c r="N40" s="104"/>
      <c r="O40" s="104"/>
      <c r="P40" s="104"/>
    </row>
    <row r="41" spans="1:16">
      <c r="A41" s="104"/>
      <c r="B41" s="104"/>
      <c r="C41" s="104"/>
      <c r="D41" s="60"/>
      <c r="E41" s="60"/>
      <c r="F41" s="60"/>
      <c r="G41" s="104"/>
      <c r="H41" s="104"/>
      <c r="I41" s="104"/>
      <c r="J41" s="104"/>
      <c r="K41" s="104"/>
      <c r="L41" s="104"/>
      <c r="M41" s="104"/>
      <c r="N41" s="104"/>
      <c r="O41" s="104"/>
      <c r="P41" s="104"/>
    </row>
    <row r="42" spans="1:16">
      <c r="A42" s="104"/>
      <c r="B42" s="104"/>
      <c r="C42" s="104"/>
      <c r="D42" s="60"/>
      <c r="E42" s="60"/>
      <c r="F42" s="60"/>
      <c r="G42" s="104"/>
      <c r="H42" s="104"/>
      <c r="I42" s="104"/>
      <c r="J42" s="104"/>
      <c r="K42" s="104"/>
      <c r="L42" s="104"/>
      <c r="M42" s="104"/>
      <c r="N42" s="104"/>
      <c r="O42" s="104"/>
      <c r="P42" s="104"/>
    </row>
    <row r="43" spans="1:16">
      <c r="A43" s="104"/>
      <c r="B43" s="104"/>
      <c r="C43" s="104"/>
      <c r="D43" s="60"/>
      <c r="E43" s="60"/>
      <c r="F43" s="60"/>
      <c r="G43" s="104"/>
      <c r="H43" s="104"/>
      <c r="I43" s="104"/>
      <c r="J43" s="104"/>
      <c r="K43" s="104"/>
      <c r="L43" s="104"/>
      <c r="M43" s="104"/>
      <c r="N43" s="104"/>
      <c r="O43" s="104"/>
      <c r="P43" s="104"/>
    </row>
    <row r="44" spans="1:16">
      <c r="D44" s="59"/>
      <c r="E44" s="59"/>
      <c r="F44" s="59"/>
    </row>
    <row r="45" spans="1:16">
      <c r="D45" s="59"/>
      <c r="E45" s="59"/>
      <c r="F45" s="59"/>
    </row>
    <row r="46" spans="1:16">
      <c r="D46" s="59"/>
      <c r="E46" s="59"/>
      <c r="F46" s="59"/>
    </row>
    <row r="47" spans="1:16">
      <c r="D47" s="59"/>
      <c r="E47" s="59"/>
      <c r="F47" s="59"/>
    </row>
    <row r="48" spans="1:16">
      <c r="D48" s="59"/>
      <c r="E48" s="59"/>
      <c r="F48" s="59"/>
    </row>
    <row r="49" spans="4:10">
      <c r="D49" s="59"/>
      <c r="E49" s="59"/>
      <c r="F49" s="59"/>
    </row>
    <row r="50" spans="4:10">
      <c r="D50" s="59"/>
      <c r="E50" s="59"/>
      <c r="F50" s="59"/>
    </row>
    <row r="51" spans="4:10">
      <c r="D51" s="59"/>
      <c r="E51" s="59"/>
      <c r="F51" s="59"/>
    </row>
    <row r="52" spans="4:10">
      <c r="D52" s="59"/>
      <c r="E52" s="59"/>
      <c r="F52" s="59"/>
    </row>
    <row r="53" spans="4:10">
      <c r="D53" s="59"/>
      <c r="E53" s="59"/>
      <c r="F53" s="59"/>
    </row>
    <row r="54" spans="4:10">
      <c r="D54" s="59"/>
      <c r="E54" s="59"/>
      <c r="F54" s="59"/>
    </row>
    <row r="55" spans="4:10">
      <c r="D55" s="59"/>
      <c r="E55" s="59"/>
      <c r="F55" s="59"/>
      <c r="J55" s="114"/>
    </row>
    <row r="56" spans="4:10">
      <c r="D56" s="59"/>
      <c r="E56" s="59"/>
      <c r="F56" s="59"/>
    </row>
    <row r="57" spans="4:10">
      <c r="D57" s="59"/>
      <c r="E57" s="59"/>
      <c r="F57" s="59"/>
    </row>
    <row r="58" spans="4:10">
      <c r="D58" s="59"/>
      <c r="E58" s="59"/>
      <c r="F58" s="59"/>
    </row>
    <row r="59" spans="4:10">
      <c r="D59" s="59"/>
      <c r="E59" s="59"/>
      <c r="F59" s="59"/>
    </row>
    <row r="60" spans="4:10">
      <c r="D60" s="59"/>
      <c r="E60" s="59"/>
      <c r="F60" s="59"/>
    </row>
    <row r="61" spans="4:10">
      <c r="D61" s="59"/>
      <c r="E61" s="59"/>
      <c r="F61" s="59"/>
      <c r="J61" s="114"/>
    </row>
    <row r="62" spans="4:10">
      <c r="D62" s="59"/>
      <c r="E62" s="59"/>
      <c r="F62" s="59"/>
    </row>
    <row r="63" spans="4:10">
      <c r="J63" s="59"/>
    </row>
    <row r="87" spans="4:14">
      <c r="D87" s="59"/>
      <c r="E87" s="59"/>
      <c r="F87" s="59"/>
    </row>
    <row r="88" spans="4:14">
      <c r="D88" s="59"/>
      <c r="E88" s="59"/>
      <c r="F88" s="59"/>
    </row>
    <row r="89" spans="4:14">
      <c r="D89" s="59"/>
      <c r="E89" s="59"/>
      <c r="F89" s="59"/>
    </row>
    <row r="90" spans="4:14">
      <c r="D90" s="59"/>
      <c r="E90" s="59"/>
      <c r="F90" s="59"/>
    </row>
    <row r="91" spans="4:14">
      <c r="D91" s="59"/>
      <c r="E91" s="59"/>
      <c r="F91" s="59"/>
    </row>
    <row r="92" spans="4:14">
      <c r="D92" s="59"/>
      <c r="E92" s="59"/>
      <c r="F92" s="59"/>
      <c r="N92" s="59"/>
    </row>
    <row r="93" spans="4:14">
      <c r="D93" s="59"/>
      <c r="E93" s="59"/>
      <c r="F93" s="59"/>
    </row>
    <row r="94" spans="4:14">
      <c r="D94" s="59"/>
      <c r="E94" s="59"/>
      <c r="F94" s="59"/>
    </row>
    <row r="95" spans="4:14">
      <c r="D95" s="59"/>
      <c r="E95" s="59"/>
      <c r="F95" s="59"/>
    </row>
    <row r="96" spans="4:14">
      <c r="D96" s="59"/>
      <c r="E96" s="59"/>
      <c r="F96" s="59"/>
    </row>
    <row r="97" spans="4:6">
      <c r="D97" s="59"/>
      <c r="E97" s="59"/>
      <c r="F97" s="59"/>
    </row>
    <row r="98" spans="4:6">
      <c r="D98" s="59"/>
      <c r="E98" s="59"/>
      <c r="F98" s="59"/>
    </row>
    <row r="99" spans="4:6">
      <c r="D99" s="59"/>
      <c r="E99" s="59"/>
      <c r="F99" s="59"/>
    </row>
    <row r="100" spans="4:6">
      <c r="D100" s="59"/>
      <c r="E100" s="59"/>
      <c r="F100" s="59"/>
    </row>
    <row r="101" spans="4:6">
      <c r="D101" s="59"/>
      <c r="E101" s="59"/>
      <c r="F101" s="59"/>
    </row>
    <row r="102" spans="4:6">
      <c r="D102" s="59"/>
      <c r="E102" s="59"/>
      <c r="F102" s="59"/>
    </row>
    <row r="103" spans="4:6">
      <c r="D103" s="59"/>
      <c r="E103" s="59"/>
      <c r="F103" s="59"/>
    </row>
    <row r="104" spans="4:6">
      <c r="D104" s="59"/>
      <c r="E104" s="59"/>
      <c r="F104" s="59"/>
    </row>
    <row r="105" spans="4:6">
      <c r="D105" s="59"/>
      <c r="E105" s="59"/>
      <c r="F105" s="59"/>
    </row>
    <row r="106" spans="4:6">
      <c r="D106" s="59"/>
      <c r="E106" s="59"/>
      <c r="F106" s="59"/>
    </row>
    <row r="107" spans="4:6">
      <c r="D107" s="59"/>
      <c r="E107" s="59"/>
      <c r="F107" s="59"/>
    </row>
    <row r="108" spans="4:6">
      <c r="D108" s="59"/>
      <c r="E108" s="59"/>
      <c r="F108" s="59"/>
    </row>
    <row r="109" spans="4:6">
      <c r="D109" s="59"/>
      <c r="E109" s="59"/>
      <c r="F109" s="59"/>
    </row>
    <row r="110" spans="4:6">
      <c r="D110" s="59"/>
      <c r="E110" s="59"/>
      <c r="F110" s="59"/>
    </row>
    <row r="111" spans="4:6">
      <c r="D111" s="59"/>
      <c r="E111" s="59"/>
      <c r="F111" s="59"/>
    </row>
    <row r="112" spans="4:6">
      <c r="D112" s="59"/>
      <c r="E112" s="59"/>
      <c r="F112" s="59"/>
    </row>
    <row r="113" spans="4:6">
      <c r="D113" s="59"/>
      <c r="E113" s="59"/>
      <c r="F113" s="59"/>
    </row>
    <row r="114" spans="4:6">
      <c r="D114" s="59"/>
      <c r="E114" s="59"/>
      <c r="F114" s="59"/>
    </row>
    <row r="115" spans="4:6">
      <c r="D115" s="59"/>
      <c r="E115" s="59"/>
      <c r="F115" s="59"/>
    </row>
    <row r="116" spans="4:6">
      <c r="D116" s="59"/>
      <c r="E116" s="59"/>
      <c r="F116" s="59"/>
    </row>
    <row r="117" spans="4:6">
      <c r="D117" s="59"/>
      <c r="E117" s="59"/>
      <c r="F117" s="59"/>
    </row>
    <row r="118" spans="4:6">
      <c r="D118" s="59"/>
      <c r="E118" s="59"/>
      <c r="F118" s="59"/>
    </row>
    <row r="119" spans="4:6">
      <c r="D119" s="59"/>
      <c r="E119" s="59"/>
      <c r="F119" s="59"/>
    </row>
    <row r="120" spans="4:6">
      <c r="D120" s="59"/>
      <c r="E120" s="59"/>
      <c r="F120" s="59"/>
    </row>
    <row r="121" spans="4:6">
      <c r="D121" s="59"/>
      <c r="E121" s="59"/>
      <c r="F121" s="59"/>
    </row>
    <row r="122" spans="4:6">
      <c r="D122" s="59"/>
      <c r="E122" s="59"/>
      <c r="F122" s="59"/>
    </row>
    <row r="123" spans="4:6">
      <c r="D123" s="59"/>
      <c r="E123" s="59"/>
      <c r="F123" s="59"/>
    </row>
    <row r="124" spans="4:6">
      <c r="D124" s="59"/>
      <c r="E124" s="59"/>
      <c r="F124" s="59"/>
    </row>
    <row r="125" spans="4:6">
      <c r="D125" s="59"/>
      <c r="E125" s="59"/>
      <c r="F125" s="59"/>
    </row>
    <row r="126" spans="4:6">
      <c r="D126" s="59"/>
      <c r="E126" s="59"/>
      <c r="F126" s="59"/>
    </row>
    <row r="127" spans="4:6">
      <c r="D127" s="59"/>
      <c r="E127" s="59"/>
      <c r="F127" s="59"/>
    </row>
    <row r="128" spans="4:6">
      <c r="D128" s="59"/>
      <c r="E128" s="59"/>
      <c r="F128" s="59"/>
    </row>
    <row r="129" spans="4:6">
      <c r="D129" s="59"/>
      <c r="E129" s="59"/>
      <c r="F129" s="59"/>
    </row>
    <row r="130" spans="4:6">
      <c r="D130" s="59"/>
      <c r="E130" s="59"/>
      <c r="F130" s="59"/>
    </row>
    <row r="131" spans="4:6">
      <c r="D131" s="59"/>
      <c r="E131" s="59"/>
      <c r="F131" s="59"/>
    </row>
    <row r="132" spans="4:6">
      <c r="D132" s="59"/>
      <c r="E132" s="59"/>
      <c r="F132" s="59"/>
    </row>
    <row r="133" spans="4:6">
      <c r="D133" s="59"/>
      <c r="E133" s="59"/>
      <c r="F133" s="59"/>
    </row>
    <row r="134" spans="4:6">
      <c r="D134" s="59"/>
      <c r="E134" s="59"/>
      <c r="F134" s="59"/>
    </row>
    <row r="135" spans="4:6">
      <c r="D135" s="59"/>
      <c r="E135" s="59"/>
      <c r="F135" s="59"/>
    </row>
    <row r="136" spans="4:6">
      <c r="D136" s="59"/>
      <c r="E136" s="59"/>
      <c r="F136" s="59"/>
    </row>
    <row r="137" spans="4:6">
      <c r="D137" s="59"/>
      <c r="E137" s="59"/>
      <c r="F137" s="59"/>
    </row>
    <row r="138" spans="4:6">
      <c r="D138" s="59"/>
      <c r="E138" s="59"/>
      <c r="F138" s="59"/>
    </row>
    <row r="139" spans="4:6">
      <c r="D139" s="59"/>
      <c r="E139" s="59"/>
      <c r="F139" s="59"/>
    </row>
    <row r="140" spans="4:6">
      <c r="D140" s="59"/>
      <c r="E140" s="59"/>
      <c r="F140" s="59"/>
    </row>
    <row r="141" spans="4:6">
      <c r="D141" s="59"/>
      <c r="E141" s="59"/>
      <c r="F141" s="59"/>
    </row>
    <row r="142" spans="4:6">
      <c r="D142" s="59"/>
      <c r="E142" s="59"/>
      <c r="F142" s="59"/>
    </row>
    <row r="143" spans="4:6">
      <c r="D143" s="59"/>
      <c r="E143" s="59"/>
      <c r="F143" s="59"/>
    </row>
    <row r="167" spans="9:10">
      <c r="J167" s="115">
        <v>41426</v>
      </c>
    </row>
    <row r="168" spans="9:10">
      <c r="I168" s="115">
        <f>+J167</f>
        <v>41426</v>
      </c>
      <c r="J168" s="115">
        <v>41518</v>
      </c>
    </row>
  </sheetData>
  <mergeCells count="2">
    <mergeCell ref="A3:L3"/>
    <mergeCell ref="A24:P24"/>
  </mergeCells>
  <pageMargins left="0.75" right="0.75" top="1" bottom="1" header="0.5" footer="0.5"/>
  <pageSetup scale="53" orientation="portrait"/>
  <headerFooter alignWithMargins="0">
    <oddFooter>&amp;RPage7</oddFooter>
  </headerFooter>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pageSetUpPr fitToPage="1"/>
  </sheetPr>
  <dimension ref="A1:L83"/>
  <sheetViews>
    <sheetView view="pageBreakPreview" zoomScale="85" zoomScaleSheetLayoutView="85" workbookViewId="0">
      <selection activeCell="D1" sqref="D1"/>
    </sheetView>
  </sheetViews>
  <sheetFormatPr baseColWidth="10" defaultColWidth="8.83203125" defaultRowHeight="15" x14ac:dyDescent="0"/>
  <cols>
    <col min="1" max="1" width="28.5" style="122" customWidth="1"/>
    <col min="2" max="3" width="2.33203125" style="122" customWidth="1"/>
    <col min="4" max="5" width="10.6640625" style="122" customWidth="1"/>
    <col min="6" max="6" width="8.6640625" style="122" customWidth="1"/>
    <col min="7" max="11" width="17.1640625" style="122" customWidth="1"/>
    <col min="12" max="12" width="15.83203125" style="122" customWidth="1"/>
    <col min="13" max="16384" width="8.83203125" style="122"/>
  </cols>
  <sheetData>
    <row r="1" spans="1:12" s="123" customFormat="1" ht="42.75" customHeight="1">
      <c r="A1" s="122" t="s">
        <v>51</v>
      </c>
      <c r="B1" s="122"/>
      <c r="D1" s="124"/>
      <c r="E1" s="122"/>
      <c r="F1" s="122"/>
      <c r="G1" s="122"/>
      <c r="I1" s="125"/>
      <c r="J1" s="122"/>
      <c r="K1" s="122"/>
      <c r="L1" s="122"/>
    </row>
    <row r="2" spans="1:12" s="123" customFormat="1" ht="40.5" customHeight="1">
      <c r="A2" s="122"/>
      <c r="B2" s="122"/>
      <c r="D2" s="124"/>
      <c r="E2" s="122"/>
      <c r="F2" s="122"/>
      <c r="G2" s="122"/>
      <c r="I2" s="125"/>
      <c r="J2" s="122"/>
      <c r="K2" s="122"/>
      <c r="L2" s="122"/>
    </row>
    <row r="3" spans="1:12" s="126" customFormat="1" ht="27.75" customHeight="1">
      <c r="A3" s="540" t="s">
        <v>77</v>
      </c>
      <c r="B3" s="540"/>
      <c r="C3" s="540"/>
      <c r="D3" s="540"/>
      <c r="E3" s="540"/>
      <c r="F3" s="540"/>
      <c r="G3" s="540"/>
      <c r="H3" s="540"/>
      <c r="I3" s="540"/>
      <c r="J3" s="540"/>
      <c r="K3" s="540"/>
      <c r="L3" s="540"/>
    </row>
    <row r="4" spans="1:12" s="123" customFormat="1">
      <c r="A4" s="122"/>
      <c r="B4" s="122"/>
      <c r="C4" s="127"/>
      <c r="D4" s="122"/>
      <c r="E4" s="122"/>
      <c r="F4" s="122"/>
      <c r="G4" s="122"/>
      <c r="H4" s="122"/>
      <c r="I4" s="122"/>
      <c r="J4" s="122"/>
      <c r="K4" s="122"/>
      <c r="L4" s="122"/>
    </row>
    <row r="5" spans="1:12" s="123" customFormat="1">
      <c r="A5" s="128"/>
      <c r="B5" s="128"/>
      <c r="C5" s="128"/>
      <c r="D5" s="128"/>
      <c r="E5" s="128"/>
      <c r="F5" s="128"/>
      <c r="G5" s="128"/>
      <c r="H5" s="128"/>
      <c r="I5" s="128"/>
      <c r="J5" s="128"/>
      <c r="K5" s="128"/>
      <c r="L5" s="128"/>
    </row>
    <row r="6" spans="1:12" s="123" customFormat="1">
      <c r="A6" s="122"/>
      <c r="B6" s="122"/>
      <c r="C6" s="122"/>
      <c r="D6" s="122"/>
      <c r="E6" s="122"/>
      <c r="F6" s="122"/>
      <c r="G6" s="122"/>
      <c r="H6" s="122"/>
      <c r="I6" s="122"/>
      <c r="J6" s="122"/>
      <c r="K6" s="122"/>
      <c r="L6" s="122"/>
    </row>
    <row r="83" ht="89.25" customHeight="1"/>
  </sheetData>
  <mergeCells count="1">
    <mergeCell ref="A3:L3"/>
  </mergeCells>
  <printOptions horizontalCentered="1"/>
  <pageMargins left="0.5" right="0.5" top="0.4" bottom="0.5" header="0.5" footer="0.25"/>
  <pageSetup scale="59" orientation="portrait"/>
  <headerFooter alignWithMargins="0">
    <oddFooter xml:space="preserve">&amp;R
</oddFooter>
  </headerFooter>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Cover</vt:lpstr>
      <vt:lpstr>Report</vt:lpstr>
      <vt:lpstr>Full Report</vt:lpstr>
      <vt:lpstr>Footnotes</vt:lpstr>
      <vt:lpstr>Stacked&amp;Idle</vt:lpstr>
      <vt:lpstr>Disclaimers&amp;Definitions </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Nordin, Sarah (Houston)</dc:creator>
  <cp:lastModifiedBy>Guy Cantwell</cp:lastModifiedBy>
  <cp:lastPrinted>2013-11-18T19:04:56Z</cp:lastPrinted>
  <dcterms:created xsi:type="dcterms:W3CDTF">1999-09-27T19:46:10Z</dcterms:created>
  <dcterms:modified xsi:type="dcterms:W3CDTF">2013-12-12T16:41:23Z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