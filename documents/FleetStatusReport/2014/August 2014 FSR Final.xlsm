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895" yWindow="90" windowWidth="15600" windowHeight="7350" tabRatio="491"/>
  </bookViews>
  <sheets>
    <sheet name="Cover" sheetId="8" r:id="rId1"/>
    <sheet name="Report" sheetId="1"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Footnotes!$B$1:$N$22</definedName>
    <definedName name="_xlnm.Print_Area" localSheetId="1">Report!$A$1:$W$69</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Footnotes!$C$1:$N$18</definedName>
    <definedName name="Z_2B5E9AF3_7E15_4FFC_BC57_F18A8661CB86_.wvu.PrintArea" localSheetId="1" hidden="1">Report!$A$1:$M$67</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Footnotes!$C$1:$N$18</definedName>
    <definedName name="Z_6B3EFEE6_6D4B_487B_9131_15FDA5ABAE22_.wvu.PrintArea" localSheetId="1" hidden="1">Report!$A$1:$M$67</definedName>
    <definedName name="Z_6B3EFEE6_6D4B_487B_9131_15FDA5ABAE22_.wvu.PrintTitles" localSheetId="2" hidden="1">Footnotes!$1:$6</definedName>
    <definedName name="Z_6B3EFEE6_6D4B_487B_9131_15FDA5ABAE22_.wvu.PrintTitles" localSheetId="1" hidden="1">Report!$A:$A,Report!$1:$8</definedName>
  </definedNames>
  <calcPr calcId="145621" calcMode="autoNoTable" iterate="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J68" i="1" l="1"/>
  <c r="M40" i="1" l="1"/>
  <c r="M30" i="1" l="1"/>
  <c r="M46" i="1" l="1"/>
  <c r="J46" i="1"/>
  <c r="B2" i="2" l="1"/>
  <c r="B3" i="2"/>
</calcChain>
</file>

<file path=xl/sharedStrings.xml><?xml version="1.0" encoding="utf-8"?>
<sst xmlns="http://schemas.openxmlformats.org/spreadsheetml/2006/main" count="267" uniqueCount="155">
  <si>
    <t>1971/2000</t>
  </si>
  <si>
    <t>(17)</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</si>
  <si>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</si>
  <si>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</si>
  <si>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</si>
  <si>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</si>
  <si>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(14)</t>
  </si>
  <si>
    <t>(12)</t>
  </si>
  <si>
    <t>BHP Billiton</t>
  </si>
  <si>
    <t>Rig Type/Name</t>
  </si>
  <si>
    <t>Water</t>
  </si>
  <si>
    <t>Depth</t>
  </si>
  <si>
    <t>Service</t>
  </si>
  <si>
    <t>Location</t>
  </si>
  <si>
    <t>USGOM</t>
  </si>
  <si>
    <t>UKNS</t>
  </si>
  <si>
    <t>Brazil</t>
  </si>
  <si>
    <t>NNS</t>
  </si>
  <si>
    <t>Petrobras</t>
  </si>
  <si>
    <t>Nigeria</t>
  </si>
  <si>
    <t>Shell</t>
  </si>
  <si>
    <t>Total</t>
  </si>
  <si>
    <t>Australia</t>
  </si>
  <si>
    <t>Angola</t>
  </si>
  <si>
    <t>India</t>
  </si>
  <si>
    <t>ONGC</t>
  </si>
  <si>
    <t>N/A</t>
  </si>
  <si>
    <t>Jack Bates</t>
  </si>
  <si>
    <t>1986/1997</t>
  </si>
  <si>
    <t xml:space="preserve"> </t>
  </si>
  <si>
    <t>ship</t>
  </si>
  <si>
    <t>semi</t>
  </si>
  <si>
    <t>Floater</t>
  </si>
  <si>
    <t>Type</t>
  </si>
  <si>
    <t>Reliance</t>
  </si>
  <si>
    <t>ExxonMobil</t>
  </si>
  <si>
    <t>Chevron</t>
  </si>
  <si>
    <t>«</t>
  </si>
  <si>
    <t>Entered</t>
  </si>
  <si>
    <t>Estimated</t>
  </si>
  <si>
    <t>(Feet)</t>
  </si>
  <si>
    <t>(Dollars)</t>
  </si>
  <si>
    <t>GSF Explorer</t>
  </si>
  <si>
    <t>1972/1998</t>
  </si>
  <si>
    <t>1982/1998</t>
  </si>
  <si>
    <t>Footnotes</t>
  </si>
  <si>
    <t>DISCLAIMERS &amp; DEFINITIONS</t>
  </si>
  <si>
    <t>Ghana</t>
  </si>
  <si>
    <t>Customer</t>
  </si>
  <si>
    <t>GSF Rig 135</t>
  </si>
  <si>
    <t>Dayrate on</t>
  </si>
  <si>
    <t>GSF Celtic Sea</t>
  </si>
  <si>
    <t>Rig Management Norway</t>
  </si>
  <si>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</si>
  <si>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</si>
  <si>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</si>
  <si>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</si>
  <si>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</si>
  <si>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</si>
  <si>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</si>
  <si>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</si>
  <si>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</si>
  <si>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</si>
  <si>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</si>
  <si>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</si>
  <si>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</si>
  <si>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</si>
  <si>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</si>
  <si>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</si>
  <si>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</si>
  <si>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While the customer has the option to add any out of service days to the end of the contract, the Estimated Expiration Date does not reflect any extension due to this option until actually exercised by the customer.</t>
  </si>
  <si>
    <t>ENI</t>
  </si>
  <si>
    <t>Congo</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</si>
  <si>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</si>
  <si>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</si>
  <si>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</si>
  <si>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</si>
  <si>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</si>
  <si>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</si>
  <si>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</si>
  <si>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</si>
  <si>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</si>
  <si>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</si>
  <si>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</si>
  <si>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Arctic</t>
  </si>
  <si>
    <t>(6), (7)</t>
  </si>
  <si>
    <t>Dhirubhai Deepwater KG1</t>
  </si>
  <si>
    <t>Discoverer India</t>
  </si>
  <si>
    <t>Petrobras 10000</t>
  </si>
  <si>
    <t xml:space="preserve"> (6), (7), (8)</t>
  </si>
  <si>
    <t>Discoverer Spirit</t>
  </si>
  <si>
    <t>GSF C.R. Luigs</t>
  </si>
  <si>
    <t>GSF Jack Ryan</t>
  </si>
  <si>
    <t>Deepwater Pathfinder</t>
  </si>
  <si>
    <t>Cajun Express</t>
  </si>
  <si>
    <t>Deepwater Nautilus</t>
  </si>
  <si>
    <t>Sedco Express</t>
  </si>
  <si>
    <t>Deepwater Navigator</t>
  </si>
  <si>
    <t>GSF Rig 140</t>
  </si>
  <si>
    <t>Actinia</t>
  </si>
  <si>
    <t>Sedco Energy</t>
  </si>
  <si>
    <t>GSF Arctic III</t>
  </si>
  <si>
    <t>Revisions Noted in Bold</t>
  </si>
  <si>
    <t>Deepwater Invictus</t>
  </si>
  <si>
    <t>Q4</t>
  </si>
  <si>
    <t>Q1</t>
  </si>
  <si>
    <t>Q2</t>
  </si>
  <si>
    <t>Q3</t>
  </si>
  <si>
    <t>Prev</t>
  </si>
  <si>
    <t xml:space="preserve"> (6)</t>
  </si>
  <si>
    <t>(6), (8)</t>
  </si>
  <si>
    <t>Fixed-Price Options - See Footnote 10</t>
  </si>
  <si>
    <t>Cairn Energy</t>
  </si>
  <si>
    <r>
      <t xml:space="preserve">Estimated Out of Service Days </t>
    </r>
    <r>
      <rPr>
        <b/>
        <vertAlign val="superscript"/>
        <sz val="10"/>
        <color theme="0"/>
        <rFont val="Arial"/>
        <family val="2"/>
      </rPr>
      <t>(4)</t>
    </r>
  </si>
  <si>
    <t>By mutual agreement (related to a previous fire incident on the rig), dayrate will be $455,000 from May 1, 2014 to October 15, 2014.  If there is a well-in-progress at October 15, 2014, the dayrate will revert back to $600,000.</t>
  </si>
  <si>
    <t>CNR</t>
  </si>
  <si>
    <t>Ivory Coast</t>
  </si>
  <si>
    <t>OMV</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</si>
  <si>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</si>
  <si>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</si>
  <si>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</si>
  <si>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</si>
  <si>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Lukoil</t>
  </si>
  <si>
    <t>Vaalco</t>
  </si>
  <si>
    <t xml:space="preserve">  (6), (7) </t>
  </si>
  <si>
    <t>Senegal</t>
  </si>
  <si>
    <t>Inpex</t>
  </si>
  <si>
    <t>GSF Galaxy III</t>
  </si>
  <si>
    <t>High Specification Jackups</t>
  </si>
  <si>
    <t>Nexen</t>
  </si>
  <si>
    <t xml:space="preserve"> (7), (8), (12)</t>
  </si>
  <si>
    <t>Discoverer Clear Leader</t>
  </si>
  <si>
    <t>Discoverer Inspiration</t>
  </si>
  <si>
    <t>Development Driller III</t>
  </si>
  <si>
    <t>Discoverer Enterprise</t>
  </si>
  <si>
    <t>BP</t>
  </si>
  <si>
    <t xml:space="preserve">  (6), (7), (8) </t>
  </si>
  <si>
    <t>High Specification Floaters: Transocean Partners LLC</t>
  </si>
  <si>
    <t>Midwater Floaters</t>
  </si>
  <si>
    <t>Please refer to Transocean Partners LLC (NYSE: RIGP) Fleet Status Report.</t>
  </si>
  <si>
    <t>NPDC</t>
  </si>
  <si>
    <t>The rig is owned by Transocean Partners LLC in which the company owns less than a 100 percent interest.</t>
  </si>
  <si>
    <t xml:space="preserve">Estimated Contract Start and Estimated Expiration Dates are presented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</si>
  <si>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r>
      <t xml:space="preserve">Reflects the dayrate while the </t>
    </r>
    <r>
      <rPr>
        <b/>
        <i/>
        <sz val="10"/>
        <rFont val="Arial"/>
        <family val="2"/>
      </rPr>
      <t>Sedco Energ</t>
    </r>
    <r>
      <rPr>
        <b/>
        <sz val="10"/>
        <rFont val="Arial"/>
        <family val="2"/>
      </rPr>
      <t>y is used for deepwater or dynamic positioning programs.  When the rig is used for midwater moored programs, the dayrate will be $370,475.</t>
    </r>
  </si>
  <si>
    <t xml:space="preserve">High Specification Floaters: Ultra-Deepwater </t>
  </si>
  <si>
    <t xml:space="preserve">High Specification Floaters: Deepwater </t>
  </si>
  <si>
    <t>High Specification Floaters: Harsh Environment</t>
  </si>
  <si>
    <t>High Specification Floaters: Deepwater</t>
  </si>
  <si>
    <t>(16)</t>
  </si>
  <si>
    <r>
      <t xml:space="preserve">(6), </t>
    </r>
    <r>
      <rPr>
        <b/>
        <sz val="10"/>
        <rFont val="Arial"/>
        <family val="2"/>
      </rPr>
      <t>(16)</t>
    </r>
  </si>
  <si>
    <t>Mobilization, customer commissioning and acceptance testing commenced in March 2014.  Revenue of approximately $52 million earned from March 2014 to July 2014 will be recognized over the remaining three-year contract period ending in March 2017.</t>
  </si>
  <si>
    <t>Deepwater Asgard</t>
  </si>
  <si>
    <t>TBA</t>
  </si>
  <si>
    <t>Updated: August 21, 2014</t>
  </si>
  <si>
    <r>
      <t xml:space="preserve">Dynamically positioned </t>
    </r>
    <r>
      <rPr>
        <sz val="10"/>
        <rFont val="Wingdings"/>
        <charset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</si>
</sst>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7"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4" fillId="0" borderId="0" applyFont="0" applyFill="0" applyBorder="0" applyAlignment="0" applyProtection="0"/>
    <xf numFmtId="0" fontId="4" fillId="0" borderId="0"/>
    <xf numFmtId="0" fontId="34" fillId="0" borderId="0"/>
    <xf numFmtId="9" fontId="34" fillId="0" borderId="0" applyFont="0" applyFill="0" applyBorder="0" applyAlignment="0" applyProtection="0"/>
    <xf numFmtId="41" fontId="5" fillId="8" borderId="0" applyNumberFormat="0" applyFont="0" applyBorder="0" applyAlignment="0" applyProtection="0"/>
    <xf numFmtId="0" fontId="35" fillId="0" borderId="0" applyNumberFormat="0" applyFill="0" applyBorder="0" applyAlignment="0" applyProtection="0"/>
    <xf numFmtId="0" fontId="36" fillId="0" borderId="2">
      <alignment horizontal="left" vertical="center"/>
    </xf>
    <xf numFmtId="168" fontId="5" fillId="0" borderId="0"/>
    <xf numFmtId="0" fontId="36" fillId="0" borderId="16" applyNumberFormat="0" applyAlignment="0" applyProtection="0">
      <alignment horizontal="left" vertical="center"/>
    </xf>
    <xf numFmtId="43" fontId="4" fillId="0" borderId="0" applyFont="0" applyFill="0" applyBorder="0" applyAlignment="0" applyProtection="0"/>
    <xf numFmtId="44" fontId="34" fillId="0" borderId="0" applyFont="0" applyFill="0" applyBorder="0" applyAlignment="0" applyProtection="0"/>
    <xf numFmtId="43" fontId="4" fillId="0" borderId="0" applyFont="0" applyFill="0" applyBorder="0" applyAlignment="0" applyProtection="0"/>
    <xf numFmtId="37" fontId="37" fillId="0" borderId="0"/>
    <xf numFmtId="0" fontId="4" fillId="0" borderId="0"/>
    <xf numFmtId="49" fontId="38"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62">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Fill="1" applyBorder="1"/>
    <xf numFmtId="167" fontId="6" fillId="0" borderId="0" xfId="4" applyNumberFormat="1" applyFont="1" applyFill="1" applyBorder="1" applyAlignment="1">
      <alignment horizontal="center" vertical="top"/>
    </xf>
    <xf numFmtId="0" fontId="5" fillId="0" borderId="0" xfId="0" applyFont="1" applyAlignment="1">
      <alignment wrapText="1"/>
    </xf>
    <xf numFmtId="0" fontId="18"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0" fontId="5" fillId="0" borderId="0" xfId="0" applyFont="1" applyFill="1" applyAlignment="1">
      <alignment horizontal="left"/>
    </xf>
    <xf numFmtId="14" fontId="5" fillId="0" borderId="0" xfId="0" applyNumberFormat="1" applyFont="1" applyFill="1"/>
    <xf numFmtId="0" fontId="5" fillId="0" borderId="0" xfId="0" applyFont="1" applyFill="1" applyBorder="1" applyAlignment="1">
      <alignment horizontal="center"/>
    </xf>
    <xf numFmtId="166" fontId="5" fillId="0" borderId="0" xfId="0" applyNumberFormat="1" applyFont="1" applyFill="1"/>
    <xf numFmtId="167" fontId="5" fillId="0" borderId="1" xfId="4" applyNumberFormat="1" applyFont="1" applyFill="1" applyBorder="1" applyAlignment="1">
      <alignment vertical="top"/>
    </xf>
    <xf numFmtId="0" fontId="19" fillId="3" borderId="10" xfId="0" quotePrefix="1" applyFont="1" applyFill="1" applyBorder="1" applyAlignment="1"/>
    <xf numFmtId="0" fontId="20" fillId="3" borderId="8" xfId="0" applyFont="1" applyFill="1" applyBorder="1" applyAlignment="1"/>
    <xf numFmtId="0" fontId="21" fillId="3" borderId="3" xfId="0" applyFont="1" applyFill="1" applyBorder="1" applyAlignment="1">
      <alignment vertical="top"/>
    </xf>
    <xf numFmtId="0" fontId="22" fillId="3" borderId="3" xfId="0" applyFont="1" applyFill="1" applyBorder="1" applyAlignment="1">
      <alignment horizontal="center" vertical="top" wrapText="1"/>
    </xf>
    <xf numFmtId="0" fontId="22" fillId="3" borderId="3" xfId="0" applyFont="1" applyFill="1" applyBorder="1" applyAlignment="1">
      <alignment horizontal="center"/>
    </xf>
    <xf numFmtId="0" fontId="24" fillId="3" borderId="3" xfId="0" applyFont="1" applyFill="1" applyBorder="1" applyAlignment="1">
      <alignment vertical="top"/>
    </xf>
    <xf numFmtId="0" fontId="22" fillId="3" borderId="0" xfId="0" applyFont="1" applyFill="1" applyBorder="1" applyAlignment="1">
      <alignment horizontal="center" vertical="top"/>
    </xf>
    <xf numFmtId="0" fontId="24" fillId="3" borderId="0" xfId="0" applyFont="1" applyFill="1" applyBorder="1" applyAlignment="1">
      <alignment vertical="top"/>
    </xf>
    <xf numFmtId="0" fontId="22" fillId="3" borderId="0" xfId="0" applyFont="1" applyFill="1" applyBorder="1" applyAlignment="1">
      <alignment horizontal="center"/>
    </xf>
    <xf numFmtId="0" fontId="22" fillId="3" borderId="1" xfId="0" applyFont="1" applyFill="1" applyBorder="1" applyAlignment="1">
      <alignment horizontal="center" vertical="top" wrapText="1"/>
    </xf>
    <xf numFmtId="0" fontId="24" fillId="3" borderId="1" xfId="0" applyFont="1" applyFill="1" applyBorder="1" applyAlignment="1">
      <alignment horizontal="center" vertical="top" wrapText="1"/>
    </xf>
    <xf numFmtId="0" fontId="22" fillId="3" borderId="1" xfId="0" applyFont="1" applyFill="1" applyBorder="1" applyAlignment="1">
      <alignment horizontal="center"/>
    </xf>
    <xf numFmtId="0" fontId="22" fillId="3" borderId="7" xfId="0" applyFont="1" applyFill="1" applyBorder="1" applyAlignment="1"/>
    <xf numFmtId="0" fontId="22" fillId="3" borderId="0" xfId="0" applyFont="1" applyFill="1" applyBorder="1" applyAlignment="1">
      <alignment horizontal="center" wrapText="1"/>
    </xf>
    <xf numFmtId="167" fontId="22" fillId="3" borderId="1" xfId="4" applyNumberFormat="1" applyFont="1" applyFill="1" applyBorder="1" applyAlignment="1">
      <alignment horizontal="center" vertical="top" wrapText="1"/>
    </xf>
    <xf numFmtId="0" fontId="22" fillId="3" borderId="11" xfId="0" applyFont="1" applyFill="1" applyBorder="1" applyAlignment="1">
      <alignment horizontal="center" vertical="top" wrapText="1"/>
    </xf>
    <xf numFmtId="0" fontId="6" fillId="0" borderId="14" xfId="0" applyFont="1" applyFill="1" applyBorder="1"/>
    <xf numFmtId="49" fontId="22" fillId="3" borderId="13" xfId="0" applyNumberFormat="1" applyFont="1" applyFill="1" applyBorder="1" applyAlignment="1">
      <alignment horizontal="center" vertical="top"/>
    </xf>
    <xf numFmtId="49" fontId="22" fillId="3" borderId="14" xfId="0" applyNumberFormat="1" applyFont="1" applyFill="1" applyBorder="1" applyAlignment="1">
      <alignment horizontal="center" vertical="top" wrapText="1"/>
    </xf>
    <xf numFmtId="0" fontId="22"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6" fillId="0" borderId="0" xfId="16" applyFont="1"/>
    <xf numFmtId="0" fontId="26" fillId="0" borderId="0" xfId="16" applyFont="1" applyFill="1"/>
    <xf numFmtId="0" fontId="26" fillId="0" borderId="0" xfId="0" applyFont="1" applyFill="1" applyAlignment="1"/>
    <xf numFmtId="0" fontId="27" fillId="0" borderId="0" xfId="16" applyFont="1"/>
    <xf numFmtId="0" fontId="26" fillId="6" borderId="0" xfId="16" applyFont="1" applyFill="1"/>
    <xf numFmtId="0" fontId="26" fillId="0" borderId="0" xfId="16" applyFont="1" applyAlignment="1">
      <alignment vertical="center"/>
    </xf>
    <xf numFmtId="0" fontId="26" fillId="0" borderId="0" xfId="16" applyFont="1" applyAlignment="1">
      <alignment vertical="top" wrapText="1"/>
    </xf>
    <xf numFmtId="0" fontId="6" fillId="0" borderId="8" xfId="0" applyFont="1" applyFill="1" applyBorder="1"/>
    <xf numFmtId="0" fontId="13"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167" fontId="5" fillId="0" borderId="6" xfId="4" applyNumberFormat="1" applyFont="1" applyFill="1" applyBorder="1"/>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0" fontId="5" fillId="0" borderId="8" xfId="0" applyFont="1" applyFill="1" applyBorder="1" applyAlignment="1">
      <alignment horizontal="left" vertical="top" wrapText="1"/>
    </xf>
    <xf numFmtId="0" fontId="5" fillId="0" borderId="8" xfId="0" applyFont="1" applyFill="1" applyBorder="1" applyAlignment="1">
      <alignment vertical="top"/>
    </xf>
    <xf numFmtId="167" fontId="22"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167" fontId="5" fillId="0" borderId="0" xfId="4" applyNumberFormat="1" applyFont="1" applyFill="1" applyBorder="1" applyAlignment="1">
      <alignment horizontal="right"/>
    </xf>
    <xf numFmtId="3" fontId="5" fillId="0" borderId="1" xfId="0" applyNumberFormat="1" applyFont="1" applyFill="1" applyBorder="1" applyAlignment="1">
      <alignment horizontal="center" vertical="top" wrapText="1"/>
    </xf>
    <xf numFmtId="0" fontId="21" fillId="3" borderId="10" xfId="0" applyFont="1" applyFill="1" applyBorder="1" applyAlignment="1">
      <alignment vertical="top"/>
    </xf>
    <xf numFmtId="0" fontId="22" fillId="3" borderId="8" xfId="0" applyFont="1" applyFill="1" applyBorder="1" applyAlignment="1">
      <alignment horizontal="center" vertical="top"/>
    </xf>
    <xf numFmtId="0" fontId="22" fillId="3" borderId="7" xfId="0" applyFont="1" applyFill="1" applyBorder="1" applyAlignment="1">
      <alignment horizontal="center" vertical="top" wrapText="1"/>
    </xf>
    <xf numFmtId="0" fontId="22" fillId="3" borderId="1" xfId="0" applyFont="1" applyFill="1" applyBorder="1" applyAlignment="1">
      <alignment horizontal="center" vertical="top"/>
    </xf>
    <xf numFmtId="0" fontId="5" fillId="0" borderId="0" xfId="2" applyFont="1" applyFill="1" applyBorder="1" applyAlignment="1">
      <alignment vertical="top" wrapText="1"/>
    </xf>
    <xf numFmtId="0" fontId="5" fillId="0" borderId="2" xfId="0" applyFont="1" applyFill="1" applyBorder="1" applyAlignment="1">
      <alignment horizontal="right" vertical="top"/>
    </xf>
    <xf numFmtId="0" fontId="5" fillId="0" borderId="2" xfId="0" applyFont="1" applyFill="1" applyBorder="1" applyAlignment="1">
      <alignment horizontal="center" vertical="top"/>
    </xf>
    <xf numFmtId="49" fontId="5" fillId="0" borderId="0" xfId="0" applyNumberFormat="1" applyFont="1" applyAlignment="1">
      <alignment horizontal="right" vertical="top" wrapText="1"/>
    </xf>
    <xf numFmtId="167" fontId="6" fillId="0" borderId="6" xfId="4" applyNumberFormat="1" applyFont="1" applyFill="1" applyBorder="1" applyAlignment="1">
      <alignment horizontal="center" vertical="top"/>
    </xf>
    <xf numFmtId="0" fontId="5" fillId="7" borderId="0" xfId="0" applyFont="1" applyFill="1" applyBorder="1"/>
    <xf numFmtId="167" fontId="5" fillId="0" borderId="5" xfId="4" applyNumberFormat="1" applyFont="1" applyFill="1" applyBorder="1" applyAlignment="1">
      <alignment horizontal="right" vertical="top" wrapText="1"/>
    </xf>
    <xf numFmtId="3" fontId="5" fillId="0" borderId="0" xfId="3" applyNumberFormat="1" applyFont="1" applyFill="1" applyBorder="1" applyAlignment="1">
      <alignment horizontal="right" vertical="top" wrapText="1"/>
    </xf>
    <xf numFmtId="0" fontId="5" fillId="5" borderId="0" xfId="0" applyFont="1" applyFill="1" applyBorder="1"/>
    <xf numFmtId="0" fontId="22" fillId="0" borderId="0" xfId="0" applyFont="1" applyFill="1" applyBorder="1" applyAlignment="1">
      <alignment horizontal="center" wrapText="1"/>
    </xf>
    <xf numFmtId="0" fontId="22" fillId="3" borderId="9" xfId="0" applyFont="1" applyFill="1" applyBorder="1" applyAlignment="1">
      <alignment horizontal="center"/>
    </xf>
    <xf numFmtId="0" fontId="22" fillId="3" borderId="6" xfId="0" applyFont="1" applyFill="1" applyBorder="1" applyAlignment="1">
      <alignment horizontal="center" wrapText="1"/>
    </xf>
    <xf numFmtId="0" fontId="24" fillId="3" borderId="11" xfId="0" applyFont="1" applyFill="1" applyBorder="1" applyAlignment="1">
      <alignment horizontal="center" vertical="top" wrapText="1"/>
    </xf>
    <xf numFmtId="0" fontId="6" fillId="0" borderId="6" xfId="0" applyFont="1" applyFill="1" applyBorder="1" applyAlignment="1">
      <alignment horizontal="center"/>
    </xf>
    <xf numFmtId="164" fontId="5" fillId="0" borderId="6" xfId="2" applyNumberFormat="1" applyFont="1" applyFill="1" applyBorder="1" applyAlignment="1">
      <alignment horizontal="right" vertical="top" wrapText="1"/>
    </xf>
    <xf numFmtId="0" fontId="22" fillId="0" borderId="0" xfId="0" applyFont="1" applyFill="1" applyBorder="1" applyAlignment="1">
      <alignment horizontal="center"/>
    </xf>
    <xf numFmtId="0" fontId="24" fillId="0" borderId="0" xfId="0" applyFont="1" applyFill="1" applyBorder="1" applyAlignment="1">
      <alignment horizontal="center" vertical="top" wrapText="1"/>
    </xf>
    <xf numFmtId="167" fontId="5" fillId="0" borderId="7" xfId="4" applyNumberFormat="1" applyFont="1" applyFill="1" applyBorder="1" applyAlignment="1">
      <alignment vertical="top"/>
    </xf>
    <xf numFmtId="165" fontId="5" fillId="0" borderId="0" xfId="0" applyNumberFormat="1" applyFont="1" applyFill="1" applyAlignment="1">
      <alignment vertical="center"/>
    </xf>
    <xf numFmtId="165" fontId="39" fillId="0" borderId="0" xfId="0" applyNumberFormat="1" applyFont="1" applyFill="1" applyAlignment="1">
      <alignment horizontal="left" vertical="center"/>
    </xf>
    <xf numFmtId="0" fontId="25" fillId="0" borderId="10" xfId="0" applyFont="1" applyFill="1" applyBorder="1" applyAlignment="1">
      <alignment vertical="top"/>
    </xf>
    <xf numFmtId="167" fontId="25" fillId="0" borderId="13" xfId="4" applyNumberFormat="1" applyFont="1" applyFill="1" applyBorder="1" applyAlignment="1">
      <alignment horizontal="right" vertical="top"/>
    </xf>
    <xf numFmtId="49" fontId="25" fillId="0" borderId="3" xfId="0" quotePrefix="1" applyNumberFormat="1" applyFont="1" applyFill="1" applyBorder="1" applyAlignment="1">
      <alignment vertical="top"/>
    </xf>
    <xf numFmtId="0" fontId="28" fillId="0" borderId="3" xfId="0" quotePrefix="1" applyFont="1" applyFill="1" applyBorder="1" applyAlignment="1">
      <alignment vertical="top"/>
    </xf>
    <xf numFmtId="0" fontId="29" fillId="0" borderId="3" xfId="0" quotePrefix="1" applyFont="1" applyFill="1" applyBorder="1" applyAlignment="1">
      <alignment vertical="top"/>
    </xf>
    <xf numFmtId="0" fontId="28" fillId="0" borderId="3" xfId="0" quotePrefix="1" applyFont="1" applyFill="1" applyBorder="1" applyAlignment="1">
      <alignment horizontal="center" vertical="top"/>
    </xf>
    <xf numFmtId="0" fontId="28" fillId="4" borderId="5" xfId="0" quotePrefix="1" applyFont="1" applyFill="1" applyBorder="1" applyAlignment="1">
      <alignment horizontal="right" vertical="top" wrapText="1"/>
    </xf>
    <xf numFmtId="0" fontId="28" fillId="0" borderId="3" xfId="0" quotePrefix="1" applyFont="1" applyFill="1" applyBorder="1" applyAlignment="1">
      <alignment horizontal="right" vertical="top" wrapText="1"/>
    </xf>
    <xf numFmtId="0" fontId="28" fillId="0" borderId="9" xfId="0" quotePrefix="1" applyFont="1" applyFill="1" applyBorder="1" applyAlignment="1">
      <alignment horizontal="right" vertical="top" wrapText="1"/>
    </xf>
    <xf numFmtId="0" fontId="16" fillId="0" borderId="0" xfId="0" applyFont="1" applyAlignment="1">
      <alignment horizontal="left" vertical="top" wrapText="1"/>
    </xf>
    <xf numFmtId="0" fontId="5" fillId="5" borderId="0" xfId="0" applyFont="1" applyFill="1"/>
    <xf numFmtId="167" fontId="5" fillId="0" borderId="15" xfId="4" quotePrefix="1" applyNumberFormat="1" applyFont="1" applyFill="1" applyBorder="1" applyAlignment="1">
      <alignment horizontal="right" vertical="top" wrapText="1"/>
    </xf>
    <xf numFmtId="167" fontId="5" fillId="0" borderId="11" xfId="4" applyNumberFormat="1" applyFont="1" applyFill="1" applyBorder="1" applyAlignment="1">
      <alignment vertical="top"/>
    </xf>
    <xf numFmtId="0" fontId="5" fillId="0" borderId="7" xfId="0" quotePrefix="1" applyFont="1" applyFill="1" applyBorder="1" applyAlignment="1">
      <alignment horizontal="left" vertical="top" wrapText="1"/>
    </xf>
    <xf numFmtId="0" fontId="6" fillId="0" borderId="0" xfId="0" applyFont="1" applyFill="1" applyBorder="1" applyAlignment="1">
      <alignment vertical="center"/>
    </xf>
    <xf numFmtId="167" fontId="6" fillId="0" borderId="0" xfId="4" quotePrefix="1" applyNumberFormat="1" applyFont="1" applyFill="1" applyBorder="1" applyAlignment="1">
      <alignment horizontal="right" vertical="top" wrapText="1"/>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167" fontId="5" fillId="0" borderId="9" xfId="4" applyNumberFormat="1" applyFont="1" applyFill="1" applyBorder="1" applyAlignment="1">
      <alignment vertical="top"/>
    </xf>
    <xf numFmtId="0" fontId="22" fillId="0" borderId="0" xfId="0" applyFont="1" applyFill="1" applyBorder="1" applyAlignment="1">
      <alignment horizontal="center" vertical="top"/>
    </xf>
    <xf numFmtId="0" fontId="22" fillId="0" borderId="0" xfId="0" applyFont="1" applyFill="1" applyBorder="1" applyAlignment="1">
      <alignment horizontal="center" vertical="top" wrapText="1"/>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0" fontId="19" fillId="3" borderId="8" xfId="0" quotePrefix="1" applyFont="1" applyFill="1" applyBorder="1" applyAlignment="1"/>
    <xf numFmtId="49" fontId="22" fillId="3" borderId="14" xfId="0" applyNumberFormat="1" applyFont="1" applyFill="1" applyBorder="1" applyAlignment="1">
      <alignment horizontal="center" vertical="top"/>
    </xf>
    <xf numFmtId="0" fontId="21" fillId="3" borderId="8" xfId="0" applyFont="1" applyFill="1" applyBorder="1" applyAlignment="1">
      <alignment vertical="top"/>
    </xf>
    <xf numFmtId="0" fontId="21" fillId="3" borderId="0" xfId="0" applyFont="1" applyFill="1" applyBorder="1" applyAlignment="1">
      <alignment vertical="top"/>
    </xf>
    <xf numFmtId="0" fontId="22" fillId="3" borderId="0" xfId="0" applyFont="1" applyFill="1" applyBorder="1" applyAlignment="1">
      <alignment horizontal="center" vertical="top" wrapText="1"/>
    </xf>
    <xf numFmtId="0" fontId="22" fillId="3" borderId="6" xfId="0" applyFont="1" applyFill="1" applyBorder="1" applyAlignment="1">
      <alignment horizontal="center"/>
    </xf>
    <xf numFmtId="0" fontId="5" fillId="5" borderId="0" xfId="0" applyFont="1" applyFill="1" applyBorder="1"/>
    <xf numFmtId="0" fontId="5" fillId="0" borderId="0" xfId="0" applyFont="1" applyFill="1" applyBorder="1"/>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xf>
    <xf numFmtId="3" fontId="5" fillId="0" borderId="0" xfId="0" applyNumberFormat="1" applyFont="1" applyFill="1" applyBorder="1" applyAlignment="1">
      <alignment horizontal="center" vertical="top" wrapText="1"/>
    </xf>
    <xf numFmtId="167" fontId="5" fillId="0" borderId="0" xfId="4" applyNumberFormat="1" applyFont="1" applyFill="1" applyBorder="1" applyAlignment="1">
      <alignment vertical="top"/>
    </xf>
    <xf numFmtId="167" fontId="5" fillId="0" borderId="1" xfId="4" applyNumberFormat="1" applyFont="1" applyFill="1" applyBorder="1" applyAlignment="1">
      <alignment horizontal="center"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5" fillId="4" borderId="2" xfId="4" quotePrefix="1" applyNumberFormat="1" applyFont="1" applyFill="1" applyBorder="1" applyAlignment="1">
      <alignment horizontal="center" vertical="top"/>
    </xf>
    <xf numFmtId="167" fontId="25" fillId="4" borderId="5" xfId="4" quotePrefix="1" applyNumberFormat="1" applyFont="1" applyFill="1" applyBorder="1" applyAlignment="1">
      <alignment horizontal="center" vertical="top"/>
    </xf>
    <xf numFmtId="0" fontId="5" fillId="0" borderId="14" xfId="0" applyFont="1" applyFill="1" applyBorder="1" applyAlignment="1">
      <alignment horizontal="right" vertical="top"/>
    </xf>
    <xf numFmtId="0" fontId="13" fillId="0" borderId="0" xfId="3" applyFont="1" applyFill="1" applyBorder="1" applyAlignment="1">
      <alignment horizontal="center" vertical="top"/>
    </xf>
    <xf numFmtId="167" fontId="5" fillId="0" borderId="11" xfId="4" applyNumberFormat="1" applyFont="1" applyFill="1" applyBorder="1" applyAlignment="1">
      <alignment horizontal="center" vertical="top"/>
    </xf>
    <xf numFmtId="167" fontId="5" fillId="0" borderId="6" xfId="4" applyNumberFormat="1" applyFont="1" applyFill="1" applyBorder="1" applyAlignment="1">
      <alignment vertical="top"/>
    </xf>
    <xf numFmtId="0" fontId="5" fillId="0" borderId="0" xfId="3"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0" fontId="5" fillId="0" borderId="1" xfId="3" applyFont="1" applyFill="1" applyBorder="1" applyAlignment="1">
      <alignment horizontal="center" vertical="top"/>
    </xf>
    <xf numFmtId="167" fontId="5" fillId="0" borderId="14" xfId="4" applyNumberFormat="1" applyFont="1" applyFill="1" applyBorder="1" applyAlignment="1">
      <alignment horizontal="right" vertical="top" wrapText="1"/>
    </xf>
    <xf numFmtId="0" fontId="25" fillId="4" borderId="4" xfId="0" applyFont="1" applyFill="1" applyBorder="1" applyAlignment="1">
      <alignment vertical="top"/>
    </xf>
    <xf numFmtId="0" fontId="25" fillId="4" borderId="12" xfId="0" applyFont="1" applyFill="1" applyBorder="1" applyAlignment="1">
      <alignment horizontal="right" vertical="top"/>
    </xf>
    <xf numFmtId="49" fontId="25" fillId="4" borderId="2" xfId="0" quotePrefix="1" applyNumberFormat="1" applyFont="1" applyFill="1" applyBorder="1" applyAlignment="1">
      <alignment vertical="top"/>
    </xf>
    <xf numFmtId="0" fontId="28" fillId="4" borderId="2" xfId="0" quotePrefix="1" applyFont="1" applyFill="1" applyBorder="1" applyAlignment="1">
      <alignment vertical="top"/>
    </xf>
    <xf numFmtId="0" fontId="29" fillId="4" borderId="2" xfId="0" quotePrefix="1" applyFont="1" applyFill="1" applyBorder="1" applyAlignment="1">
      <alignment vertical="top"/>
    </xf>
    <xf numFmtId="0" fontId="28" fillId="4" borderId="4" xfId="0" quotePrefix="1" applyFont="1" applyFill="1" applyBorder="1" applyAlignment="1">
      <alignment vertical="top"/>
    </xf>
    <xf numFmtId="167" fontId="25" fillId="4" borderId="12" xfId="4" applyNumberFormat="1" applyFont="1" applyFill="1" applyBorder="1" applyAlignment="1">
      <alignment horizontal="right" vertical="top"/>
    </xf>
    <xf numFmtId="167" fontId="28" fillId="4" borderId="12" xfId="4" quotePrefix="1" applyNumberFormat="1" applyFont="1" applyFill="1" applyBorder="1" applyAlignment="1">
      <alignment horizontal="right" vertical="top"/>
    </xf>
    <xf numFmtId="0" fontId="25" fillId="4" borderId="2" xfId="0" quotePrefix="1" applyFont="1" applyFill="1" applyBorder="1" applyAlignment="1">
      <alignment vertical="top"/>
    </xf>
    <xf numFmtId="0" fontId="31" fillId="4" borderId="2" xfId="0" quotePrefix="1" applyFont="1" applyFill="1" applyBorder="1" applyAlignment="1">
      <alignment vertical="top"/>
    </xf>
    <xf numFmtId="0" fontId="32" fillId="4" borderId="2" xfId="0" quotePrefix="1" applyFont="1" applyFill="1" applyBorder="1" applyAlignment="1">
      <alignment vertical="top"/>
    </xf>
    <xf numFmtId="167" fontId="12" fillId="0" borderId="0" xfId="4" applyNumberFormat="1" applyFont="1" applyFill="1" applyBorder="1" applyAlignment="1">
      <alignment vertical="top"/>
    </xf>
    <xf numFmtId="0" fontId="5" fillId="0" borderId="0" xfId="0" quotePrefix="1" applyFont="1" applyFill="1" applyBorder="1" applyAlignment="1">
      <alignment horizontal="left" vertical="top" wrapText="1"/>
    </xf>
    <xf numFmtId="167" fontId="5" fillId="0" borderId="0" xfId="4" applyNumberFormat="1" applyFont="1" applyFill="1" applyBorder="1"/>
    <xf numFmtId="0" fontId="12" fillId="0" borderId="10" xfId="0" quotePrefix="1" applyFont="1" applyFill="1" applyBorder="1" applyAlignment="1">
      <alignment vertical="top"/>
    </xf>
    <xf numFmtId="0" fontId="30"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167" fontId="24" fillId="4" borderId="5" xfId="4" quotePrefix="1" applyNumberFormat="1" applyFont="1" applyFill="1" applyBorder="1" applyAlignment="1">
      <alignment horizontal="center" vertical="top"/>
    </xf>
    <xf numFmtId="167" fontId="24" fillId="4" borderId="2" xfId="4" quotePrefix="1" applyNumberFormat="1" applyFont="1" applyFill="1" applyBorder="1" applyAlignment="1">
      <alignment horizontal="center" vertical="top"/>
    </xf>
    <xf numFmtId="164" fontId="5" fillId="0" borderId="6" xfId="3" applyNumberFormat="1" applyFont="1" applyFill="1" applyBorder="1" applyAlignment="1">
      <alignment horizontal="right" vertical="top" wrapText="1"/>
    </xf>
    <xf numFmtId="167" fontId="5" fillId="0" borderId="14" xfId="4" quotePrefix="1" applyNumberFormat="1" applyFont="1" applyFill="1" applyBorder="1" applyAlignment="1">
      <alignment horizontal="right" vertical="top" wrapText="1"/>
    </xf>
    <xf numFmtId="0" fontId="28" fillId="0" borderId="0" xfId="0" quotePrefix="1" applyFont="1" applyFill="1" applyBorder="1" applyAlignment="1">
      <alignment vertical="top"/>
    </xf>
    <xf numFmtId="0" fontId="12" fillId="0" borderId="0" xfId="0" quotePrefix="1" applyFont="1" applyFill="1" applyBorder="1" applyAlignment="1">
      <alignment vertical="top"/>
    </xf>
    <xf numFmtId="0" fontId="25" fillId="0" borderId="0" xfId="0" quotePrefix="1" applyFont="1" applyFill="1" applyBorder="1" applyAlignment="1">
      <alignment vertical="top"/>
    </xf>
    <xf numFmtId="167" fontId="25" fillId="0" borderId="0" xfId="4" quotePrefix="1" applyNumberFormat="1" applyFont="1" applyFill="1" applyBorder="1" applyAlignment="1">
      <alignment vertical="top"/>
    </xf>
    <xf numFmtId="167" fontId="24" fillId="0" borderId="0" xfId="4" quotePrefix="1" applyNumberFormat="1" applyFont="1" applyFill="1" applyBorder="1" applyAlignment="1">
      <alignment horizontal="center" vertical="top"/>
    </xf>
    <xf numFmtId="167" fontId="25" fillId="0" borderId="0" xfId="4" quotePrefix="1" applyNumberFormat="1" applyFont="1" applyFill="1" applyBorder="1" applyAlignment="1">
      <alignment horizontal="center" vertical="top"/>
    </xf>
    <xf numFmtId="0" fontId="28"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5" fillId="4" borderId="2" xfId="0" quotePrefix="1" applyFont="1" applyFill="1" applyBorder="1" applyAlignment="1">
      <alignment horizontal="center" vertical="top"/>
    </xf>
    <xf numFmtId="0" fontId="28" fillId="4" borderId="2" xfId="0" quotePrefix="1" applyFont="1" applyFill="1" applyBorder="1" applyAlignment="1">
      <alignment horizontal="right" vertical="top"/>
    </xf>
    <xf numFmtId="0" fontId="28"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25" fillId="4" borderId="2" xfId="0" quotePrefix="1" applyFont="1" applyFill="1" applyBorder="1" applyAlignment="1">
      <alignment horizontal="right" vertical="top"/>
    </xf>
    <xf numFmtId="0" fontId="25" fillId="4" borderId="5" xfId="0" quotePrefix="1" applyFont="1" applyFill="1" applyBorder="1" applyAlignment="1">
      <alignment horizontal="right" vertical="top"/>
    </xf>
    <xf numFmtId="0" fontId="33"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0" fontId="28" fillId="4" borderId="2" xfId="0" quotePrefix="1" applyFont="1" applyFill="1" applyBorder="1" applyAlignment="1">
      <alignment horizontal="right" vertical="top" wrapText="1"/>
    </xf>
    <xf numFmtId="167" fontId="12" fillId="0" borderId="0" xfId="4" quotePrefix="1" applyNumberFormat="1" applyFont="1" applyFill="1" applyBorder="1" applyAlignment="1">
      <alignment horizontal="center" vertical="top"/>
    </xf>
    <xf numFmtId="167" fontId="12" fillId="0" borderId="8"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9" xfId="4" applyNumberFormat="1" applyFont="1" applyFill="1" applyBorder="1" applyAlignment="1">
      <alignment horizontal="center" vertical="top"/>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0" xfId="4" quotePrefix="1" applyNumberFormat="1" applyFont="1" applyFill="1" applyBorder="1" applyAlignment="1">
      <alignment horizontal="right" vertical="top" wrapText="1"/>
    </xf>
    <xf numFmtId="167" fontId="6" fillId="0" borderId="0" xfId="4" applyNumberFormat="1" applyFont="1" applyFill="1" applyBorder="1" applyAlignment="1">
      <alignment horizontal="right" vertical="top" wrapText="1"/>
    </xf>
    <xf numFmtId="17" fontId="6" fillId="0" borderId="0" xfId="3" applyNumberFormat="1" applyFont="1" applyFill="1" applyBorder="1" applyAlignment="1">
      <alignment horizontal="center" vertical="top" wrapText="1"/>
    </xf>
    <xf numFmtId="167" fontId="25" fillId="4" borderId="0" xfId="4" quotePrefix="1" applyNumberFormat="1" applyFont="1" applyFill="1" applyBorder="1" applyAlignment="1">
      <alignment horizontal="center" vertical="top"/>
    </xf>
    <xf numFmtId="167" fontId="25" fillId="4" borderId="8" xfId="4" quotePrefix="1" applyNumberFormat="1" applyFont="1" applyFill="1" applyBorder="1" applyAlignment="1">
      <alignment horizontal="center" vertical="top"/>
    </xf>
    <xf numFmtId="167" fontId="25" fillId="4" borderId="6" xfId="4" quotePrefix="1" applyNumberFormat="1" applyFont="1" applyFill="1" applyBorder="1" applyAlignment="1">
      <alignment horizontal="center" vertical="top"/>
    </xf>
    <xf numFmtId="3" fontId="5" fillId="0" borderId="6" xfId="0" applyNumberFormat="1" applyFont="1" applyFill="1" applyBorder="1" applyAlignment="1">
      <alignment horizontal="right" vertical="top" wrapText="1"/>
    </xf>
    <xf numFmtId="0" fontId="5" fillId="0" borderId="1" xfId="0" applyFont="1" applyFill="1" applyBorder="1" applyAlignment="1">
      <alignment horizontal="center" vertical="top" wrapText="1"/>
    </xf>
    <xf numFmtId="167" fontId="5" fillId="0" borderId="1" xfId="4"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7" fontId="5" fillId="0" borderId="0" xfId="3" quotePrefix="1" applyNumberFormat="1" applyFont="1" applyFill="1" applyBorder="1" applyAlignment="1">
      <alignment horizontal="center" vertical="top" wrapText="1"/>
    </xf>
    <xf numFmtId="167" fontId="5" fillId="0" borderId="15" xfId="4"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0" fontId="13" fillId="0" borderId="1" xfId="3" applyFont="1" applyFill="1" applyBorder="1" applyAlignment="1">
      <alignment horizontal="center" vertical="top"/>
    </xf>
    <xf numFmtId="167" fontId="6" fillId="0" borderId="1" xfId="4" applyNumberFormat="1" applyFont="1" applyFill="1" applyBorder="1" applyAlignment="1">
      <alignment horizontal="right" vertical="top" wrapText="1"/>
    </xf>
    <xf numFmtId="0" fontId="6" fillId="0" borderId="0" xfId="3" applyFont="1" applyFill="1" applyBorder="1" applyAlignment="1">
      <alignment horizontal="center" vertical="top" wrapText="1"/>
    </xf>
    <xf numFmtId="0" fontId="6" fillId="0" borderId="0" xfId="0" applyFont="1" applyFill="1" applyBorder="1" applyAlignment="1">
      <alignment horizontal="center" vertical="top" wrapText="1"/>
    </xf>
    <xf numFmtId="167" fontId="22" fillId="3" borderId="0" xfId="4" applyNumberFormat="1" applyFont="1" applyFill="1" applyBorder="1" applyAlignment="1">
      <alignment horizontal="center" vertical="top" wrapText="1"/>
    </xf>
    <xf numFmtId="167" fontId="12" fillId="0" borderId="0" xfId="4" quotePrefix="1" applyNumberFormat="1" applyFont="1" applyFill="1" applyBorder="1" applyAlignment="1">
      <alignment vertical="top"/>
    </xf>
    <xf numFmtId="0" fontId="6" fillId="0" borderId="8" xfId="0" applyFont="1" applyFill="1" applyBorder="1" applyAlignment="1">
      <alignment horizontal="left" vertical="top" wrapText="1"/>
    </xf>
    <xf numFmtId="167" fontId="5" fillId="5" borderId="0" xfId="4" applyNumberFormat="1" applyFont="1" applyFill="1" applyBorder="1"/>
    <xf numFmtId="167" fontId="5" fillId="0" borderId="0" xfId="4" applyNumberFormat="1" applyFont="1" applyFill="1"/>
    <xf numFmtId="167" fontId="5" fillId="5" borderId="0" xfId="4" applyNumberFormat="1" applyFont="1" applyFill="1"/>
    <xf numFmtId="167" fontId="6" fillId="0" borderId="0" xfId="4" applyNumberFormat="1" applyFont="1" applyFill="1" applyBorder="1"/>
    <xf numFmtId="167" fontId="6" fillId="0" borderId="1" xfId="4" applyNumberFormat="1" applyFont="1" applyFill="1" applyBorder="1" applyAlignment="1">
      <alignment horizontal="center" vertical="top"/>
    </xf>
    <xf numFmtId="167" fontId="6" fillId="0" borderId="11" xfId="4" applyNumberFormat="1" applyFont="1" applyFill="1" applyBorder="1" applyAlignment="1">
      <alignment horizontal="center" vertical="top"/>
    </xf>
    <xf numFmtId="0" fontId="6" fillId="0" borderId="8" xfId="0" applyFont="1" applyFill="1" applyBorder="1" applyAlignment="1">
      <alignment vertical="top" wrapText="1"/>
    </xf>
    <xf numFmtId="0" fontId="6" fillId="0" borderId="8" xfId="0" applyFont="1" applyFill="1" applyBorder="1" applyAlignment="1">
      <alignment horizontal="justify" vertical="top" wrapText="1"/>
    </xf>
    <xf numFmtId="0" fontId="6" fillId="0" borderId="8" xfId="0" applyFont="1" applyFill="1" applyBorder="1" applyAlignment="1">
      <alignment vertical="top"/>
    </xf>
    <xf numFmtId="0" fontId="6" fillId="0" borderId="14" xfId="3" applyFont="1" applyFill="1" applyBorder="1" applyAlignment="1">
      <alignment vertical="top" wrapText="1"/>
    </xf>
    <xf numFmtId="0" fontId="6" fillId="0" borderId="7" xfId="0" applyFont="1" applyFill="1" applyBorder="1" applyAlignment="1">
      <alignment horizontal="justify" vertical="top" wrapText="1"/>
    </xf>
    <xf numFmtId="167" fontId="25" fillId="4" borderId="10" xfId="4" quotePrefix="1" applyNumberFormat="1" applyFont="1" applyFill="1" applyBorder="1" applyAlignment="1">
      <alignment horizontal="center" vertical="top"/>
    </xf>
    <xf numFmtId="167" fontId="25" fillId="4" borderId="3" xfId="4" quotePrefix="1" applyNumberFormat="1" applyFont="1" applyFill="1" applyBorder="1" applyAlignment="1">
      <alignment horizontal="center" vertical="top"/>
    </xf>
    <xf numFmtId="167" fontId="25" fillId="4" borderId="9" xfId="4" quotePrefix="1" applyNumberFormat="1" applyFont="1" applyFill="1" applyBorder="1" applyAlignment="1">
      <alignment horizontal="center" vertical="top"/>
    </xf>
    <xf numFmtId="0" fontId="6" fillId="0" borderId="7" xfId="0" applyFont="1" applyFill="1" applyBorder="1" applyAlignment="1">
      <alignment vertical="top" wrapText="1"/>
    </xf>
    <xf numFmtId="0" fontId="6" fillId="0" borderId="8" xfId="0" quotePrefix="1" applyFont="1" applyFill="1" applyBorder="1" applyAlignment="1">
      <alignment horizontal="left" vertical="top" wrapText="1"/>
    </xf>
    <xf numFmtId="167" fontId="6" fillId="0" borderId="1" xfId="4" quotePrefix="1" applyNumberFormat="1" applyFont="1" applyFill="1" applyBorder="1" applyAlignment="1">
      <alignment horizontal="right" vertical="top" wrapText="1"/>
    </xf>
    <xf numFmtId="0" fontId="6" fillId="0" borderId="14" xfId="0" applyFont="1" applyFill="1" applyBorder="1" applyAlignment="1">
      <alignment vertical="top" wrapText="1"/>
    </xf>
    <xf numFmtId="0" fontId="6" fillId="0" borderId="14" xfId="0" quotePrefix="1" applyFont="1" applyFill="1" applyBorder="1" applyAlignment="1">
      <alignment horizontal="left" vertical="top" wrapText="1"/>
    </xf>
    <xf numFmtId="0" fontId="6" fillId="0" borderId="15" xfId="0" applyFont="1" applyFill="1" applyBorder="1" applyAlignment="1">
      <alignment vertical="top" wrapText="1"/>
    </xf>
    <xf numFmtId="0" fontId="25" fillId="4" borderId="10" xfId="0" applyFont="1" applyFill="1" applyBorder="1" applyAlignment="1">
      <alignment vertical="top"/>
    </xf>
    <xf numFmtId="167" fontId="25" fillId="4" borderId="13" xfId="4" applyNumberFormat="1" applyFont="1" applyFill="1" applyBorder="1" applyAlignment="1">
      <alignment horizontal="right" vertical="top"/>
    </xf>
    <xf numFmtId="49" fontId="25" fillId="4" borderId="3" xfId="0" quotePrefix="1" applyNumberFormat="1" applyFont="1" applyFill="1" applyBorder="1" applyAlignment="1">
      <alignment vertical="top"/>
    </xf>
    <xf numFmtId="0" fontId="28" fillId="4" borderId="3" xfId="0" quotePrefix="1" applyFont="1" applyFill="1" applyBorder="1" applyAlignment="1">
      <alignment vertical="top"/>
    </xf>
    <xf numFmtId="0" fontId="29" fillId="4" borderId="3" xfId="0" quotePrefix="1" applyFont="1" applyFill="1" applyBorder="1" applyAlignment="1">
      <alignment vertical="top"/>
    </xf>
    <xf numFmtId="0" fontId="28" fillId="4" borderId="3" xfId="0" quotePrefix="1" applyFont="1" applyFill="1" applyBorder="1" applyAlignment="1">
      <alignment horizontal="center" vertical="top"/>
    </xf>
    <xf numFmtId="0" fontId="28" fillId="4" borderId="3" xfId="0" quotePrefix="1" applyFont="1" applyFill="1" applyBorder="1" applyAlignment="1">
      <alignment horizontal="right" vertical="top"/>
    </xf>
    <xf numFmtId="0" fontId="28" fillId="4" borderId="9" xfId="0" quotePrefix="1" applyFont="1" applyFill="1" applyBorder="1" applyAlignment="1">
      <alignment horizontal="right" vertical="top"/>
    </xf>
    <xf numFmtId="0" fontId="28" fillId="4" borderId="10" xfId="0" quotePrefix="1" applyFont="1" applyFill="1" applyBorder="1" applyAlignment="1">
      <alignment vertical="top"/>
    </xf>
    <xf numFmtId="0" fontId="5" fillId="0" borderId="10" xfId="2" applyFont="1" applyFill="1" applyBorder="1" applyAlignment="1">
      <alignment vertical="top" wrapText="1"/>
    </xf>
    <xf numFmtId="167" fontId="5" fillId="0" borderId="13" xfId="4" applyNumberFormat="1" applyFont="1" applyFill="1" applyBorder="1" applyAlignment="1">
      <alignment horizontal="right" vertical="top" wrapText="1"/>
    </xf>
    <xf numFmtId="0" fontId="5" fillId="0" borderId="3" xfId="2" applyFont="1" applyFill="1" applyBorder="1" applyAlignment="1">
      <alignment horizontal="center" vertical="top"/>
    </xf>
    <xf numFmtId="1" fontId="5" fillId="0" borderId="3" xfId="2" applyNumberFormat="1" applyFont="1" applyFill="1" applyBorder="1" applyAlignment="1">
      <alignment horizontal="center" vertical="top"/>
    </xf>
    <xf numFmtId="3" fontId="5" fillId="0" borderId="3" xfId="2" applyNumberFormat="1" applyFont="1" applyFill="1" applyBorder="1" applyAlignment="1">
      <alignment horizontal="center" vertical="top"/>
    </xf>
    <xf numFmtId="0" fontId="5" fillId="0" borderId="3" xfId="2" applyFont="1" applyFill="1" applyBorder="1" applyAlignment="1">
      <alignment horizontal="center" vertical="top" wrapText="1"/>
    </xf>
    <xf numFmtId="17" fontId="5" fillId="0" borderId="3" xfId="2" applyNumberFormat="1" applyFont="1" applyFill="1" applyBorder="1" applyAlignment="1">
      <alignment horizontal="center" vertical="top" wrapText="1"/>
    </xf>
    <xf numFmtId="164" fontId="5" fillId="0" borderId="3" xfId="2" applyNumberFormat="1" applyFont="1" applyFill="1" applyBorder="1" applyAlignment="1">
      <alignment horizontal="right" vertical="top" wrapText="1"/>
    </xf>
    <xf numFmtId="164" fontId="5" fillId="0" borderId="9" xfId="2" applyNumberFormat="1" applyFont="1" applyFill="1" applyBorder="1" applyAlignment="1">
      <alignment horizontal="right" vertical="top" wrapText="1"/>
    </xf>
    <xf numFmtId="167" fontId="6" fillId="0" borderId="7" xfId="4" applyNumberFormat="1" applyFont="1" applyFill="1" applyBorder="1" applyAlignment="1">
      <alignment horizontal="center" vertical="top"/>
    </xf>
    <xf numFmtId="167" fontId="24" fillId="4" borderId="3" xfId="4" quotePrefix="1" applyNumberFormat="1" applyFont="1" applyFill="1" applyBorder="1" applyAlignment="1">
      <alignment horizontal="center" vertical="top"/>
    </xf>
    <xf numFmtId="167" fontId="24" fillId="4" borderId="9" xfId="4" quotePrefix="1" applyNumberFormat="1" applyFont="1" applyFill="1" applyBorder="1" applyAlignment="1">
      <alignment horizontal="center" vertical="top"/>
    </xf>
    <xf numFmtId="0" fontId="5" fillId="0" borderId="8" xfId="0" applyFont="1" applyFill="1" applyBorder="1" applyAlignment="1">
      <alignment horizontal="center" vertical="top"/>
    </xf>
    <xf numFmtId="14" fontId="6" fillId="0" borderId="0" xfId="0" applyNumberFormat="1" applyFont="1" applyFill="1" applyBorder="1" applyAlignment="1">
      <alignment horizontal="center" vertical="top" wrapText="1"/>
    </xf>
    <xf numFmtId="17" fontId="6" fillId="0" borderId="0" xfId="0" applyNumberFormat="1" applyFont="1" applyFill="1" applyBorder="1" applyAlignment="1">
      <alignment horizontal="center" vertical="top"/>
    </xf>
    <xf numFmtId="167" fontId="5" fillId="0" borderId="8" xfId="4" applyNumberFormat="1" applyFont="1" applyFill="1" applyBorder="1" applyAlignment="1">
      <alignment horizontal="right" vertical="top"/>
    </xf>
    <xf numFmtId="167" fontId="5" fillId="0" borderId="0" xfId="4" applyNumberFormat="1" applyFont="1" applyFill="1" applyBorder="1" applyAlignment="1">
      <alignment horizontal="right" vertical="top"/>
    </xf>
    <xf numFmtId="1" fontId="5" fillId="0" borderId="1" xfId="3" applyNumberFormat="1" applyFont="1" applyFill="1" applyBorder="1" applyAlignment="1">
      <alignment horizontal="center" vertical="top"/>
    </xf>
    <xf numFmtId="3" fontId="5" fillId="0" borderId="1" xfId="3" applyNumberFormat="1" applyFont="1" applyFill="1" applyBorder="1" applyAlignment="1">
      <alignment horizontal="center" vertical="top"/>
    </xf>
    <xf numFmtId="17" fontId="6" fillId="0" borderId="1" xfId="3" applyNumberFormat="1" applyFont="1" applyFill="1" applyBorder="1" applyAlignment="1">
      <alignment horizontal="center" vertical="top" wrapText="1"/>
    </xf>
    <xf numFmtId="167" fontId="6" fillId="0" borderId="11" xfId="4" applyNumberFormat="1" applyFont="1" applyFill="1" applyBorder="1" applyAlignment="1">
      <alignment horizontal="right" vertical="top" wrapText="1"/>
    </xf>
    <xf numFmtId="3" fontId="6" fillId="0" borderId="0" xfId="3" applyNumberFormat="1" applyFont="1" applyFill="1" applyBorder="1" applyAlignment="1">
      <alignment horizontal="right" vertical="top" wrapText="1"/>
    </xf>
    <xf numFmtId="3" fontId="6" fillId="0" borderId="6" xfId="3" applyNumberFormat="1" applyFont="1" applyFill="1" applyBorder="1" applyAlignment="1">
      <alignment horizontal="right" vertical="top" wrapText="1"/>
    </xf>
    <xf numFmtId="0" fontId="6" fillId="0" borderId="1" xfId="0" applyFont="1" applyFill="1" applyBorder="1" applyAlignment="1">
      <alignment horizontal="center" vertical="top" wrapText="1"/>
    </xf>
    <xf numFmtId="14" fontId="5" fillId="0" borderId="0" xfId="0" applyNumberFormat="1" applyFont="1" applyFill="1" applyBorder="1" applyAlignment="1">
      <alignment horizontal="center" vertical="top" wrapText="1"/>
    </xf>
    <xf numFmtId="0" fontId="5" fillId="0" borderId="4" xfId="0" applyFont="1" applyFill="1" applyBorder="1" applyAlignment="1">
      <alignment vertical="top"/>
    </xf>
    <xf numFmtId="0" fontId="5" fillId="0" borderId="7" xfId="0" applyFont="1" applyFill="1" applyBorder="1"/>
    <xf numFmtId="0" fontId="5" fillId="0" borderId="1" xfId="0" applyFont="1" applyFill="1" applyBorder="1"/>
    <xf numFmtId="0" fontId="28" fillId="0" borderId="14" xfId="0" quotePrefix="1" applyFont="1" applyFill="1" applyBorder="1" applyAlignment="1">
      <alignment vertical="top"/>
    </xf>
    <xf numFmtId="167" fontId="5" fillId="0" borderId="2" xfId="4" applyNumberFormat="1" applyFont="1" applyFill="1" applyBorder="1" applyAlignment="1">
      <alignment horizontal="center" vertical="top"/>
    </xf>
    <xf numFmtId="0" fontId="28" fillId="4" borderId="7" xfId="0" quotePrefix="1" applyFont="1" applyFill="1" applyBorder="1" applyAlignment="1">
      <alignment vertical="top"/>
    </xf>
    <xf numFmtId="167" fontId="5" fillId="0" borderId="3" xfId="4" quotePrefix="1" applyNumberFormat="1" applyFont="1" applyFill="1" applyBorder="1" applyAlignment="1">
      <alignment horizontal="center" vertical="top"/>
    </xf>
    <xf numFmtId="167" fontId="5" fillId="0" borderId="2" xfId="4" applyNumberFormat="1" applyFont="1" applyFill="1" applyBorder="1" applyAlignment="1">
      <alignment vertical="top"/>
    </xf>
    <xf numFmtId="167" fontId="5" fillId="0" borderId="2" xfId="4" applyNumberFormat="1" applyFont="1" applyFill="1" applyBorder="1"/>
    <xf numFmtId="167" fontId="25" fillId="0" borderId="14" xfId="4" quotePrefix="1" applyNumberFormat="1" applyFont="1" applyFill="1" applyBorder="1" applyAlignment="1">
      <alignment horizontal="center" vertical="top"/>
    </xf>
    <xf numFmtId="167" fontId="5" fillId="0" borderId="2" xfId="4" quotePrefix="1" applyNumberFormat="1" applyFont="1" applyFill="1" applyBorder="1" applyAlignment="1">
      <alignment horizontal="center" vertical="top"/>
    </xf>
    <xf numFmtId="167" fontId="24" fillId="4" borderId="8" xfId="4" quotePrefix="1" applyNumberFormat="1" applyFont="1" applyFill="1" applyBorder="1" applyAlignment="1">
      <alignment horizontal="center" vertical="top"/>
    </xf>
    <xf numFmtId="167" fontId="5" fillId="0" borderId="3" xfId="4" applyNumberFormat="1" applyFont="1" applyFill="1" applyBorder="1"/>
    <xf numFmtId="167" fontId="25" fillId="0" borderId="8" xfId="4" quotePrefix="1" applyNumberFormat="1" applyFont="1" applyFill="1" applyBorder="1" applyAlignment="1">
      <alignment horizontal="center" vertical="top"/>
    </xf>
    <xf numFmtId="49" fontId="5" fillId="0" borderId="0" xfId="0" applyNumberFormat="1" applyFont="1" applyFill="1" applyAlignment="1">
      <alignment horizontal="right" vertical="top" wrapText="1"/>
    </xf>
    <xf numFmtId="17" fontId="6" fillId="0" borderId="1" xfId="0" applyNumberFormat="1" applyFont="1" applyFill="1" applyBorder="1" applyAlignment="1">
      <alignment horizontal="center"/>
    </xf>
    <xf numFmtId="0" fontId="6" fillId="0" borderId="7" xfId="0" applyFont="1" applyFill="1" applyBorder="1" applyAlignment="1">
      <alignment horizontal="left" vertical="top" wrapText="1"/>
    </xf>
    <xf numFmtId="167" fontId="5" fillId="0" borderId="14" xfId="4" applyNumberFormat="1" applyFont="1" applyFill="1" applyBorder="1" applyAlignment="1">
      <alignment horizontal="center" vertical="top"/>
    </xf>
    <xf numFmtId="0" fontId="25" fillId="0" borderId="8" xfId="0" applyFont="1" applyFill="1" applyBorder="1" applyAlignment="1">
      <alignment vertical="top"/>
    </xf>
    <xf numFmtId="0" fontId="25" fillId="0" borderId="14" xfId="0" applyFont="1" applyFill="1" applyBorder="1" applyAlignment="1">
      <alignment horizontal="right" vertical="top"/>
    </xf>
    <xf numFmtId="49" fontId="25" fillId="0" borderId="0" xfId="0" quotePrefix="1" applyNumberFormat="1" applyFont="1" applyFill="1" applyBorder="1" applyAlignment="1">
      <alignment vertical="top"/>
    </xf>
    <xf numFmtId="0" fontId="29" fillId="0" borderId="0" xfId="0" quotePrefix="1" applyFont="1" applyFill="1" applyBorder="1" applyAlignment="1">
      <alignment vertical="top"/>
    </xf>
    <xf numFmtId="0" fontId="28" fillId="0" borderId="0" xfId="0" quotePrefix="1" applyFont="1" applyFill="1" applyBorder="1" applyAlignment="1">
      <alignment horizontal="center" vertical="top"/>
    </xf>
    <xf numFmtId="0" fontId="28" fillId="0" borderId="0" xfId="0" quotePrefix="1" applyFont="1" applyFill="1" applyBorder="1" applyAlignment="1">
      <alignment horizontal="right" vertical="top"/>
    </xf>
    <xf numFmtId="0" fontId="28" fillId="0" borderId="6" xfId="0" quotePrefix="1" applyFont="1" applyFill="1" applyBorder="1" applyAlignment="1">
      <alignment horizontal="right" vertical="top"/>
    </xf>
    <xf numFmtId="0" fontId="28" fillId="0" borderId="8" xfId="0" quotePrefix="1" applyFont="1" applyFill="1" applyBorder="1" applyAlignment="1">
      <alignment vertical="top"/>
    </xf>
    <xf numFmtId="167" fontId="25" fillId="0" borderId="6" xfId="4" quotePrefix="1" applyNumberFormat="1" applyFont="1" applyFill="1" applyBorder="1" applyAlignment="1">
      <alignment horizontal="center" vertical="top"/>
    </xf>
    <xf numFmtId="0" fontId="11" fillId="0" borderId="3"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0" fontId="5" fillId="0" borderId="14" xfId="0" applyFont="1" applyFill="1" applyBorder="1"/>
    <xf numFmtId="0" fontId="6" fillId="0" borderId="2" xfId="3" applyFont="1" applyFill="1" applyBorder="1" applyAlignment="1">
      <alignment vertical="top" wrapText="1"/>
    </xf>
    <xf numFmtId="49" fontId="6" fillId="0" borderId="0" xfId="0" applyNumberFormat="1" applyFont="1" applyFill="1" applyAlignment="1">
      <alignment horizontal="right" vertical="top" wrapText="1"/>
    </xf>
    <xf numFmtId="167" fontId="6" fillId="0" borderId="6" xfId="4" applyNumberFormat="1" applyFont="1" applyFill="1" applyBorder="1" applyAlignment="1">
      <alignment horizontal="right" vertical="top" wrapText="1"/>
    </xf>
    <xf numFmtId="167" fontId="6" fillId="0" borderId="14" xfId="4" applyNumberFormat="1" applyFont="1" applyFill="1" applyBorder="1" applyAlignment="1">
      <alignment horizontal="right" vertical="top" wrapText="1"/>
    </xf>
    <xf numFmtId="167" fontId="6" fillId="0" borderId="14" xfId="4" applyNumberFormat="1" applyFont="1" applyFill="1" applyBorder="1" applyAlignment="1">
      <alignment vertical="center" wrapText="1"/>
    </xf>
    <xf numFmtId="167" fontId="6" fillId="0" borderId="15" xfId="4" applyNumberFormat="1" applyFont="1" applyFill="1" applyBorder="1" applyAlignment="1">
      <alignment vertical="center" wrapText="1"/>
    </xf>
    <xf numFmtId="0" fontId="6" fillId="0" borderId="0" xfId="0" applyFont="1" applyFill="1"/>
    <xf numFmtId="0" fontId="5" fillId="0" borderId="15" xfId="0" applyFont="1" applyFill="1" applyBorder="1"/>
    <xf numFmtId="0" fontId="5" fillId="0" borderId="3" xfId="0" applyFont="1" applyFill="1" applyBorder="1"/>
    <xf numFmtId="0" fontId="5" fillId="0" borderId="1" xfId="3" applyFont="1" applyFill="1" applyBorder="1" applyAlignment="1">
      <alignment horizontal="center" vertical="top" wrapText="1"/>
    </xf>
    <xf numFmtId="167" fontId="6" fillId="0" borderId="14" xfId="4" quotePrefix="1" applyNumberFormat="1" applyFont="1" applyFill="1" applyBorder="1" applyAlignment="1">
      <alignment horizontal="right" vertical="top" wrapText="1"/>
    </xf>
    <xf numFmtId="0" fontId="5" fillId="0" borderId="6" xfId="0" applyFont="1" applyFill="1" applyBorder="1" applyAlignment="1">
      <alignment horizontal="right"/>
    </xf>
    <xf numFmtId="0" fontId="5" fillId="0" borderId="0" xfId="0" applyFont="1" applyFill="1" applyBorder="1" applyAlignment="1">
      <alignment horizontal="right" vertical="top"/>
    </xf>
    <xf numFmtId="167" fontId="6" fillId="0" borderId="0" xfId="4" applyNumberFormat="1" applyFont="1" applyFill="1" applyBorder="1" applyAlignment="1">
      <alignment horizontal="center" vertical="center" wrapText="1"/>
    </xf>
    <xf numFmtId="167" fontId="6" fillId="0" borderId="6" xfId="4" applyNumberFormat="1" applyFont="1" applyFill="1" applyBorder="1" applyAlignment="1">
      <alignment horizontal="center" vertical="center" wrapText="1"/>
    </xf>
    <xf numFmtId="167" fontId="6" fillId="0" borderId="1" xfId="4" applyNumberFormat="1" applyFont="1" applyFill="1" applyBorder="1" applyAlignment="1">
      <alignment horizontal="center" vertical="center" wrapText="1"/>
    </xf>
    <xf numFmtId="167" fontId="6" fillId="0" borderId="11" xfId="4" applyNumberFormat="1" applyFont="1" applyFill="1" applyBorder="1" applyAlignment="1">
      <alignment horizontal="center" vertical="center"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5" fillId="0" borderId="0" xfId="0" applyFont="1" applyFill="1" applyBorder="1" applyAlignment="1">
      <alignment vertical="center"/>
    </xf>
    <xf numFmtId="0" fontId="22" fillId="3" borderId="10" xfId="0" applyFont="1" applyFill="1" applyBorder="1" applyAlignment="1">
      <alignment horizontal="center" vertical="top"/>
    </xf>
    <xf numFmtId="0" fontId="22" fillId="3" borderId="3" xfId="0" applyFont="1" applyFill="1" applyBorder="1" applyAlignment="1">
      <alignment horizontal="center" vertical="top"/>
    </xf>
    <xf numFmtId="0" fontId="22" fillId="3" borderId="9" xfId="0" applyFont="1" applyFill="1" applyBorder="1" applyAlignment="1">
      <alignment horizontal="center" vertical="top"/>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0" fontId="6" fillId="0" borderId="0" xfId="0" applyFont="1" applyFill="1" applyBorder="1" applyAlignment="1">
      <alignment horizontal="left" vertical="top" wrapText="1"/>
    </xf>
    <xf numFmtId="0" fontId="0" fillId="0" borderId="0" xfId="0" applyFill="1" applyAlignment="1">
      <alignment horizontal="left" vertical="top" wrapText="1"/>
    </xf>
    <xf numFmtId="0" fontId="5" fillId="0" borderId="0" xfId="0" applyFont="1" applyFill="1" applyAlignment="1">
      <alignment horizontal="left" wrapText="1"/>
    </xf>
    <xf numFmtId="0" fontId="11" fillId="0" borderId="2" xfId="2" applyFont="1" applyFill="1" applyBorder="1" applyAlignment="1">
      <alignment horizontal="left" vertical="top" wrapText="1"/>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5" fillId="0" borderId="0" xfId="0" applyFont="1" applyAlignment="1">
      <alignment horizontal="left" vertical="top" wrapText="1"/>
    </xf>
    <xf numFmtId="0" fontId="5" fillId="0" borderId="0" xfId="0" applyFont="1" applyFill="1" applyAlignment="1">
      <alignment horizontal="left" vertical="top" wrapText="1"/>
    </xf>
    <xf numFmtId="0" fontId="19"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CCFFCC"/>
      <color rgb="FFFFCCFF"/>
      <color rgb="FFDBE5F1"/>
      <color rgb="FFCCFFFF"/>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August 21,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election activeCell="A2" sqref="A2"/>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29</v>
      </c>
      <c r="B11" s="7"/>
      <c r="C11" s="64"/>
      <c r="D11" s="7"/>
      <c r="E11" s="7"/>
      <c r="F11" s="7"/>
      <c r="G11" s="7"/>
      <c r="H11" s="7"/>
      <c r="I11" s="7"/>
      <c r="J11" s="7"/>
      <c r="K11" s="7"/>
      <c r="L11" s="7"/>
    </row>
    <row r="12" spans="1:17" ht="409.5" customHeight="1" x14ac:dyDescent="0.35">
      <c r="A12" s="7"/>
      <c r="B12" s="7"/>
      <c r="C12" s="37"/>
      <c r="D12" s="7"/>
      <c r="E12" s="7"/>
      <c r="F12" s="7"/>
      <c r="G12" s="7"/>
      <c r="H12" s="7"/>
      <c r="I12" s="7"/>
      <c r="J12" s="7"/>
      <c r="K12" s="7"/>
      <c r="L12" s="7"/>
      <c r="Q12" s="35"/>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AQ76"/>
  <sheetViews>
    <sheetView view="pageBreakPreview" zoomScaleNormal="100" zoomScaleSheetLayoutView="100" workbookViewId="0">
      <pane xSplit="1" ySplit="9" topLeftCell="B37" activePane="bottomRight" state="frozen"/>
      <selection pane="topRight" activeCell="B1" sqref="B1"/>
      <selection pane="bottomLeft" activeCell="A10" sqref="A10"/>
      <selection pane="bottomRight" activeCell="B1" sqref="B1"/>
    </sheetView>
  </sheetViews>
  <sheetFormatPr defaultRowHeight="12.75" x14ac:dyDescent="0.2"/>
  <cols>
    <col min="1" max="1" width="37.5703125" style="7" customWidth="1"/>
    <col min="2" max="2" width="14.7109375" style="7" customWidth="1"/>
    <col min="3" max="3" width="13.28515625" style="7" customWidth="1"/>
    <col min="4" max="4" width="13.7109375" style="7" customWidth="1"/>
    <col min="5" max="5" width="15.5703125" style="7" customWidth="1"/>
    <col min="6" max="6" width="12.85546875" style="7" customWidth="1"/>
    <col min="7" max="7" width="13.85546875" style="7" customWidth="1"/>
    <col min="8" max="8" width="15.28515625" style="7" customWidth="1"/>
    <col min="9" max="9" width="14" style="7" customWidth="1"/>
    <col min="10" max="10" width="13.42578125" style="7" customWidth="1"/>
    <col min="11" max="11" width="10.7109375" style="7" customWidth="1"/>
    <col min="12" max="12" width="12" style="7" customWidth="1"/>
    <col min="13" max="13" width="12.140625" style="7" customWidth="1"/>
    <col min="14" max="14" width="2.7109375" style="32" customWidth="1"/>
    <col min="15" max="18" width="11.7109375" style="7" customWidth="1"/>
    <col min="19" max="19" width="1.7109375" style="32" customWidth="1"/>
    <col min="20" max="23" width="11.7109375" style="7" customWidth="1"/>
    <col min="24" max="24" width="9.140625" style="7"/>
    <col min="25" max="34" width="0" style="7" hidden="1" customWidth="1"/>
    <col min="35" max="16384" width="9.140625" style="7"/>
  </cols>
  <sheetData>
    <row r="1" spans="1:43" ht="41.25" customHeight="1" x14ac:dyDescent="0.2">
      <c r="C1" s="37"/>
      <c r="E1" s="39"/>
      <c r="F1" s="39"/>
      <c r="H1" s="38"/>
    </row>
    <row r="2" spans="1:43" ht="13.5" customHeight="1" x14ac:dyDescent="0.2">
      <c r="A2" s="149" t="s">
        <v>153</v>
      </c>
      <c r="B2" s="111"/>
      <c r="C2" s="110"/>
      <c r="K2" s="40"/>
      <c r="L2" s="40"/>
    </row>
    <row r="3" spans="1:43" ht="16.5" customHeight="1" x14ac:dyDescent="0.2">
      <c r="A3" s="343" t="s">
        <v>102</v>
      </c>
      <c r="B3" s="343"/>
      <c r="C3" s="344"/>
      <c r="D3" s="344"/>
      <c r="E3" s="344"/>
      <c r="F3" s="344"/>
      <c r="G3" s="344"/>
      <c r="H3" s="344"/>
      <c r="I3" s="344"/>
      <c r="J3" s="344"/>
      <c r="K3" s="344"/>
      <c r="L3" s="344"/>
      <c r="M3" s="344"/>
      <c r="N3" s="126"/>
    </row>
    <row r="4" spans="1:43" x14ac:dyDescent="0.2">
      <c r="A4" s="345" t="s">
        <v>154</v>
      </c>
      <c r="B4" s="345"/>
      <c r="C4" s="345"/>
      <c r="D4" s="345"/>
      <c r="E4" s="345"/>
      <c r="F4" s="345"/>
      <c r="G4" s="345"/>
      <c r="H4" s="345"/>
      <c r="I4" s="345"/>
      <c r="J4" s="345"/>
      <c r="K4" s="345"/>
      <c r="L4" s="345"/>
      <c r="M4" s="345"/>
      <c r="N4" s="126"/>
    </row>
    <row r="5" spans="1:43" s="32" customFormat="1" ht="15.75" x14ac:dyDescent="0.25">
      <c r="A5" s="44"/>
      <c r="B5" s="61"/>
      <c r="C5" s="88"/>
      <c r="D5" s="46"/>
      <c r="E5" s="47"/>
      <c r="F5" s="48"/>
      <c r="G5" s="48"/>
      <c r="H5" s="49"/>
      <c r="I5" s="49"/>
      <c r="J5" s="48"/>
      <c r="K5" s="48"/>
      <c r="L5" s="48" t="s">
        <v>50</v>
      </c>
      <c r="M5" s="102" t="s">
        <v>50</v>
      </c>
      <c r="N5" s="107"/>
      <c r="O5" s="346" t="s">
        <v>113</v>
      </c>
      <c r="P5" s="347"/>
      <c r="Q5" s="347"/>
      <c r="R5" s="348"/>
      <c r="S5" s="131"/>
      <c r="T5" s="346" t="s">
        <v>113</v>
      </c>
      <c r="U5" s="347"/>
      <c r="V5" s="347"/>
      <c r="W5" s="348"/>
    </row>
    <row r="6" spans="1:43" s="32" customFormat="1" ht="15.75" x14ac:dyDescent="0.25">
      <c r="A6" s="136"/>
      <c r="B6" s="137"/>
      <c r="C6" s="138"/>
      <c r="D6" s="139"/>
      <c r="E6" s="140" t="s">
        <v>78</v>
      </c>
      <c r="F6" s="52" t="s">
        <v>10</v>
      </c>
      <c r="G6" s="52" t="s">
        <v>74</v>
      </c>
      <c r="H6" s="51"/>
      <c r="I6" s="51"/>
      <c r="J6" s="52" t="s">
        <v>39</v>
      </c>
      <c r="K6" s="52" t="s">
        <v>39</v>
      </c>
      <c r="L6" s="52" t="s">
        <v>118</v>
      </c>
      <c r="M6" s="141" t="s">
        <v>120</v>
      </c>
      <c r="N6" s="107"/>
      <c r="O6" s="133"/>
      <c r="P6" s="134"/>
      <c r="Q6" s="134"/>
      <c r="R6" s="135"/>
      <c r="S6" s="131"/>
      <c r="T6" s="133"/>
      <c r="U6" s="134"/>
      <c r="V6" s="134"/>
      <c r="W6" s="135"/>
    </row>
    <row r="7" spans="1:43" s="32" customFormat="1" ht="14.25" customHeight="1" x14ac:dyDescent="0.2">
      <c r="A7" s="45"/>
      <c r="B7" s="62" t="s">
        <v>82</v>
      </c>
      <c r="C7" s="89" t="s">
        <v>32</v>
      </c>
      <c r="D7" s="50" t="s">
        <v>75</v>
      </c>
      <c r="E7" s="50" t="s">
        <v>38</v>
      </c>
      <c r="F7" s="50" t="s">
        <v>11</v>
      </c>
      <c r="G7" s="50" t="s">
        <v>11</v>
      </c>
      <c r="H7" s="51"/>
      <c r="I7" s="51"/>
      <c r="J7" s="52" t="s">
        <v>76</v>
      </c>
      <c r="K7" s="52" t="s">
        <v>80</v>
      </c>
      <c r="L7" s="57" t="s">
        <v>119</v>
      </c>
      <c r="M7" s="103" t="s">
        <v>119</v>
      </c>
      <c r="N7" s="101"/>
      <c r="O7" s="349">
        <v>2014</v>
      </c>
      <c r="P7" s="350"/>
      <c r="Q7" s="350"/>
      <c r="R7" s="351"/>
      <c r="S7" s="131"/>
      <c r="T7" s="349">
        <v>2015</v>
      </c>
      <c r="U7" s="350"/>
      <c r="V7" s="350"/>
      <c r="W7" s="351"/>
    </row>
    <row r="8" spans="1:43" s="32" customFormat="1" ht="13.5" customHeight="1" x14ac:dyDescent="0.2">
      <c r="A8" s="56" t="s">
        <v>9</v>
      </c>
      <c r="B8" s="63" t="s">
        <v>83</v>
      </c>
      <c r="C8" s="90" t="s">
        <v>33</v>
      </c>
      <c r="D8" s="91" t="s">
        <v>77</v>
      </c>
      <c r="E8" s="53" t="s">
        <v>12</v>
      </c>
      <c r="F8" s="54" t="s">
        <v>40</v>
      </c>
      <c r="G8" s="54" t="s">
        <v>40</v>
      </c>
      <c r="H8" s="55" t="s">
        <v>13</v>
      </c>
      <c r="I8" s="55" t="s">
        <v>48</v>
      </c>
      <c r="J8" s="53" t="s">
        <v>79</v>
      </c>
      <c r="K8" s="53" t="s">
        <v>81</v>
      </c>
      <c r="L8" s="54" t="s">
        <v>41</v>
      </c>
      <c r="M8" s="104" t="s">
        <v>41</v>
      </c>
      <c r="N8" s="108"/>
      <c r="O8" s="84" t="s">
        <v>105</v>
      </c>
      <c r="P8" s="58" t="s">
        <v>106</v>
      </c>
      <c r="Q8" s="58" t="s">
        <v>107</v>
      </c>
      <c r="R8" s="59" t="s">
        <v>104</v>
      </c>
      <c r="S8" s="132"/>
      <c r="T8" s="84" t="s">
        <v>105</v>
      </c>
      <c r="U8" s="58" t="s">
        <v>106</v>
      </c>
      <c r="V8" s="58" t="s">
        <v>107</v>
      </c>
      <c r="W8" s="59" t="s">
        <v>104</v>
      </c>
      <c r="Y8" s="239" t="s">
        <v>105</v>
      </c>
      <c r="Z8" s="239" t="s">
        <v>106</v>
      </c>
      <c r="AA8" s="239" t="s">
        <v>107</v>
      </c>
      <c r="AB8" s="239" t="s">
        <v>104</v>
      </c>
      <c r="AD8" s="239" t="s">
        <v>105</v>
      </c>
      <c r="AE8" s="239" t="s">
        <v>106</v>
      </c>
      <c r="AF8" s="239" t="s">
        <v>107</v>
      </c>
      <c r="AG8" s="239" t="s">
        <v>104</v>
      </c>
      <c r="AI8" s="239"/>
      <c r="AJ8" s="239"/>
      <c r="AK8" s="239"/>
      <c r="AL8" s="239"/>
      <c r="AM8" s="148"/>
      <c r="AN8" s="239"/>
      <c r="AO8" s="239"/>
      <c r="AP8" s="239"/>
      <c r="AQ8" s="239"/>
    </row>
    <row r="9" spans="1:43" s="32" customFormat="1" ht="9" customHeight="1" x14ac:dyDescent="0.2">
      <c r="A9" s="72"/>
      <c r="B9" s="60"/>
      <c r="C9" s="4"/>
      <c r="D9" s="41"/>
      <c r="E9" s="4"/>
      <c r="F9" s="4"/>
      <c r="G9" s="4"/>
      <c r="H9" s="4"/>
      <c r="I9" s="4"/>
      <c r="J9" s="4"/>
      <c r="K9" s="4"/>
      <c r="L9" s="4"/>
      <c r="M9" s="105"/>
      <c r="N9" s="4"/>
      <c r="O9" s="85"/>
      <c r="P9" s="33"/>
      <c r="Q9" s="33"/>
      <c r="R9" s="96"/>
      <c r="S9" s="33"/>
      <c r="T9" s="85"/>
      <c r="U9" s="33"/>
      <c r="V9" s="33"/>
      <c r="W9" s="96"/>
    </row>
    <row r="10" spans="1:43" s="148" customFormat="1" ht="12.75" customHeight="1" x14ac:dyDescent="0.2">
      <c r="A10" s="172" t="s">
        <v>137</v>
      </c>
      <c r="B10" s="173"/>
      <c r="C10" s="174"/>
      <c r="D10" s="175"/>
      <c r="E10" s="176"/>
      <c r="F10" s="175"/>
      <c r="G10" s="175"/>
      <c r="H10" s="175"/>
      <c r="I10" s="175"/>
      <c r="J10" s="200"/>
      <c r="K10" s="200"/>
      <c r="L10" s="203"/>
      <c r="M10" s="204"/>
      <c r="N10" s="194"/>
      <c r="O10" s="177"/>
      <c r="P10" s="158"/>
      <c r="Q10" s="158"/>
      <c r="R10" s="159"/>
      <c r="S10" s="199"/>
      <c r="T10" s="226"/>
      <c r="U10" s="225"/>
      <c r="V10" s="225"/>
      <c r="W10" s="227"/>
    </row>
    <row r="11" spans="1:43" s="148" customFormat="1" ht="6" customHeight="1" x14ac:dyDescent="0.2">
      <c r="A11" s="314"/>
      <c r="B11" s="315"/>
      <c r="C11" s="316"/>
      <c r="D11" s="194"/>
      <c r="E11" s="317"/>
      <c r="F11" s="194"/>
      <c r="G11" s="194"/>
      <c r="H11" s="194"/>
      <c r="I11" s="194"/>
      <c r="J11" s="318"/>
      <c r="K11" s="318"/>
      <c r="L11" s="319"/>
      <c r="M11" s="320"/>
      <c r="N11" s="194"/>
      <c r="O11" s="321"/>
      <c r="P11" s="199"/>
      <c r="Q11" s="199"/>
      <c r="R11" s="322"/>
      <c r="S11" s="199"/>
      <c r="T11" s="309"/>
      <c r="U11" s="199"/>
      <c r="V11" s="199"/>
      <c r="W11" s="322"/>
    </row>
    <row r="12" spans="1:43" s="148" customFormat="1" ht="12.75" customHeight="1" x14ac:dyDescent="0.2">
      <c r="A12" s="241" t="s">
        <v>131</v>
      </c>
      <c r="B12" s="330">
        <v>-15</v>
      </c>
      <c r="C12" s="339" t="s">
        <v>139</v>
      </c>
      <c r="D12" s="339"/>
      <c r="E12" s="339"/>
      <c r="F12" s="339"/>
      <c r="G12" s="339"/>
      <c r="H12" s="339"/>
      <c r="I12" s="339"/>
      <c r="J12" s="339"/>
      <c r="K12" s="339"/>
      <c r="L12" s="339"/>
      <c r="M12" s="340"/>
      <c r="N12" s="156"/>
      <c r="O12" s="211"/>
      <c r="P12" s="147"/>
      <c r="Q12" s="147"/>
      <c r="R12" s="220"/>
      <c r="S12" s="147"/>
      <c r="T12" s="211"/>
      <c r="U12" s="147"/>
      <c r="V12" s="147"/>
      <c r="W12" s="220"/>
    </row>
    <row r="13" spans="1:43" s="148" customFormat="1" ht="12.75" customHeight="1" x14ac:dyDescent="0.2">
      <c r="A13" s="241" t="s">
        <v>132</v>
      </c>
      <c r="B13" s="330">
        <v>-15</v>
      </c>
      <c r="C13" s="339"/>
      <c r="D13" s="339"/>
      <c r="E13" s="339"/>
      <c r="F13" s="339"/>
      <c r="G13" s="339"/>
      <c r="H13" s="339"/>
      <c r="I13" s="339"/>
      <c r="J13" s="339"/>
      <c r="K13" s="339"/>
      <c r="L13" s="339"/>
      <c r="M13" s="340"/>
      <c r="N13" s="156"/>
      <c r="O13" s="211"/>
      <c r="P13" s="147"/>
      <c r="Q13" s="147"/>
      <c r="R13" s="220"/>
      <c r="S13" s="147"/>
      <c r="T13" s="211"/>
      <c r="U13" s="147"/>
      <c r="V13" s="147"/>
      <c r="W13" s="220"/>
    </row>
    <row r="14" spans="1:43" s="148" customFormat="1" ht="12.75" customHeight="1" x14ac:dyDescent="0.2">
      <c r="A14" s="312" t="s">
        <v>133</v>
      </c>
      <c r="B14" s="331">
        <v>-15</v>
      </c>
      <c r="C14" s="341"/>
      <c r="D14" s="341"/>
      <c r="E14" s="341"/>
      <c r="F14" s="341"/>
      <c r="G14" s="341"/>
      <c r="H14" s="341"/>
      <c r="I14" s="341"/>
      <c r="J14" s="341"/>
      <c r="K14" s="341"/>
      <c r="L14" s="341"/>
      <c r="M14" s="342"/>
      <c r="N14" s="156"/>
      <c r="O14" s="212"/>
      <c r="P14" s="155"/>
      <c r="Q14" s="246"/>
      <c r="R14" s="162"/>
      <c r="S14" s="313"/>
      <c r="T14" s="212"/>
      <c r="U14" s="155"/>
      <c r="V14" s="155"/>
      <c r="W14" s="162"/>
    </row>
    <row r="15" spans="1:43" s="148" customFormat="1" ht="7.5" customHeight="1" x14ac:dyDescent="0.2">
      <c r="A15" s="72"/>
      <c r="B15" s="60"/>
      <c r="C15" s="4"/>
      <c r="D15" s="218"/>
      <c r="E15" s="4"/>
      <c r="F15" s="4"/>
      <c r="G15" s="4"/>
      <c r="H15" s="4"/>
      <c r="I15" s="4"/>
      <c r="J15" s="4"/>
      <c r="K15" s="4"/>
      <c r="L15" s="4"/>
      <c r="M15" s="105"/>
      <c r="N15" s="4"/>
      <c r="O15" s="85"/>
      <c r="P15" s="33"/>
      <c r="Q15" s="33"/>
      <c r="R15" s="96"/>
      <c r="S15" s="33"/>
      <c r="T15" s="85"/>
      <c r="U15" s="33"/>
      <c r="V15" s="33"/>
      <c r="W15" s="96"/>
    </row>
    <row r="16" spans="1:43" s="5" customFormat="1" ht="15" x14ac:dyDescent="0.2">
      <c r="A16" s="172" t="s">
        <v>144</v>
      </c>
      <c r="B16" s="173"/>
      <c r="C16" s="174"/>
      <c r="D16" s="175"/>
      <c r="E16" s="176"/>
      <c r="F16" s="175"/>
      <c r="G16" s="175"/>
      <c r="H16" s="175"/>
      <c r="I16" s="175"/>
      <c r="J16" s="200"/>
      <c r="K16" s="200"/>
      <c r="L16" s="203"/>
      <c r="M16" s="204"/>
      <c r="N16" s="194"/>
      <c r="O16" s="177"/>
      <c r="P16" s="158"/>
      <c r="Q16" s="158"/>
      <c r="R16" s="159"/>
      <c r="S16" s="199"/>
      <c r="T16" s="226"/>
      <c r="U16" s="225"/>
      <c r="V16" s="225"/>
      <c r="W16" s="227"/>
    </row>
    <row r="17" spans="1:43" s="5" customFormat="1" ht="6" customHeight="1" x14ac:dyDescent="0.2">
      <c r="A17" s="186"/>
      <c r="B17" s="187"/>
      <c r="C17" s="188"/>
      <c r="D17" s="188"/>
      <c r="E17" s="188"/>
      <c r="F17" s="188"/>
      <c r="G17" s="323"/>
      <c r="H17" s="188"/>
      <c r="I17" s="188"/>
      <c r="J17" s="201"/>
      <c r="K17" s="201"/>
      <c r="L17" s="205"/>
      <c r="M17" s="206"/>
      <c r="N17" s="195"/>
      <c r="O17" s="215"/>
      <c r="P17" s="214"/>
      <c r="Q17" s="214"/>
      <c r="R17" s="216"/>
      <c r="S17" s="214"/>
      <c r="T17" s="215"/>
      <c r="U17" s="214"/>
      <c r="V17" s="214"/>
      <c r="W17" s="216"/>
    </row>
    <row r="18" spans="1:43" s="5" customFormat="1" ht="15" customHeight="1" x14ac:dyDescent="0.2">
      <c r="A18" s="72" t="s">
        <v>151</v>
      </c>
      <c r="B18" s="171"/>
      <c r="C18" s="151" t="s">
        <v>30</v>
      </c>
      <c r="D18" s="161" t="s">
        <v>37</v>
      </c>
      <c r="E18" s="238">
        <v>2014</v>
      </c>
      <c r="F18" s="152">
        <v>12000</v>
      </c>
      <c r="G18" s="152">
        <v>40000</v>
      </c>
      <c r="H18" s="218" t="s">
        <v>152</v>
      </c>
      <c r="I18" s="218" t="s">
        <v>152</v>
      </c>
      <c r="J18" s="224">
        <v>41871</v>
      </c>
      <c r="K18" s="224">
        <v>42947</v>
      </c>
      <c r="L18" s="156">
        <v>600000</v>
      </c>
      <c r="M18" s="337" t="s">
        <v>26</v>
      </c>
      <c r="N18" s="189"/>
      <c r="O18" s="210">
        <v>0</v>
      </c>
      <c r="P18" s="147">
        <v>0</v>
      </c>
      <c r="Q18" s="147">
        <v>0</v>
      </c>
      <c r="R18" s="220">
        <v>0</v>
      </c>
      <c r="S18" s="147"/>
      <c r="T18" s="211">
        <v>0</v>
      </c>
      <c r="U18" s="147">
        <v>0</v>
      </c>
      <c r="V18" s="147">
        <v>0</v>
      </c>
      <c r="W18" s="220">
        <v>0</v>
      </c>
    </row>
    <row r="19" spans="1:43" s="148" customFormat="1" ht="14.25" customHeight="1" x14ac:dyDescent="0.2">
      <c r="A19" s="72" t="s">
        <v>103</v>
      </c>
      <c r="B19" s="171" t="s">
        <v>149</v>
      </c>
      <c r="C19" s="151" t="s">
        <v>30</v>
      </c>
      <c r="D19" s="161" t="s">
        <v>37</v>
      </c>
      <c r="E19" s="238">
        <v>2014</v>
      </c>
      <c r="F19" s="152">
        <v>12000</v>
      </c>
      <c r="G19" s="152">
        <v>40000</v>
      </c>
      <c r="H19" s="218" t="s">
        <v>14</v>
      </c>
      <c r="I19" s="218" t="s">
        <v>8</v>
      </c>
      <c r="J19" s="224">
        <v>41848</v>
      </c>
      <c r="K19" s="224">
        <v>42820</v>
      </c>
      <c r="L19" s="156">
        <v>595000</v>
      </c>
      <c r="M19" s="228" t="s">
        <v>26</v>
      </c>
      <c r="N19" s="150"/>
      <c r="O19" s="210">
        <v>0</v>
      </c>
      <c r="P19" s="147">
        <v>0</v>
      </c>
      <c r="Q19" s="147">
        <v>0</v>
      </c>
      <c r="R19" s="220">
        <v>0</v>
      </c>
      <c r="S19" s="147"/>
      <c r="T19" s="211">
        <v>0</v>
      </c>
      <c r="U19" s="147">
        <v>0</v>
      </c>
      <c r="V19" s="147">
        <v>0</v>
      </c>
      <c r="W19" s="220">
        <v>0</v>
      </c>
    </row>
    <row r="20" spans="1:43" s="100" customFormat="1" ht="14.25" customHeight="1" x14ac:dyDescent="0.2">
      <c r="A20" s="248" t="s">
        <v>86</v>
      </c>
      <c r="B20" s="193" t="s">
        <v>136</v>
      </c>
      <c r="C20" s="151" t="s">
        <v>30</v>
      </c>
      <c r="D20" s="161" t="s">
        <v>37</v>
      </c>
      <c r="E20" s="151">
        <v>2009</v>
      </c>
      <c r="F20" s="153">
        <v>12000</v>
      </c>
      <c r="G20" s="153">
        <v>35000</v>
      </c>
      <c r="H20" s="151" t="s">
        <v>16</v>
      </c>
      <c r="I20" s="151" t="s">
        <v>18</v>
      </c>
      <c r="J20" s="221">
        <v>41944</v>
      </c>
      <c r="K20" s="221">
        <v>43100</v>
      </c>
      <c r="L20" s="223">
        <v>450000</v>
      </c>
      <c r="M20" s="157">
        <v>510000</v>
      </c>
      <c r="N20" s="156"/>
      <c r="O20" s="211">
        <v>0</v>
      </c>
      <c r="P20" s="147">
        <v>0</v>
      </c>
      <c r="Q20" s="33">
        <v>47</v>
      </c>
      <c r="R20" s="96">
        <v>87</v>
      </c>
      <c r="S20" s="147"/>
      <c r="T20" s="211">
        <v>0</v>
      </c>
      <c r="U20" s="33">
        <v>16</v>
      </c>
      <c r="V20" s="33">
        <v>14</v>
      </c>
      <c r="W20" s="220">
        <v>0</v>
      </c>
      <c r="AI20" s="242"/>
      <c r="AJ20" s="242"/>
      <c r="AK20" s="242"/>
      <c r="AL20" s="242"/>
      <c r="AM20" s="242"/>
      <c r="AN20" s="242"/>
      <c r="AO20" s="242"/>
      <c r="AP20" s="242"/>
      <c r="AQ20" s="242"/>
    </row>
    <row r="21" spans="1:43" s="100" customFormat="1" x14ac:dyDescent="0.2">
      <c r="A21" s="241" t="s">
        <v>87</v>
      </c>
      <c r="B21" s="171">
        <v>-11</v>
      </c>
      <c r="C21" s="151" t="s">
        <v>30</v>
      </c>
      <c r="D21" s="161" t="s">
        <v>37</v>
      </c>
      <c r="E21" s="151">
        <v>2010</v>
      </c>
      <c r="F21" s="153">
        <v>12000</v>
      </c>
      <c r="G21" s="153">
        <v>40000</v>
      </c>
      <c r="H21" s="221" t="s">
        <v>14</v>
      </c>
      <c r="I21" s="151" t="s">
        <v>34</v>
      </c>
      <c r="J21" s="221">
        <v>41518</v>
      </c>
      <c r="K21" s="232">
        <v>42614</v>
      </c>
      <c r="L21" s="156">
        <v>528000</v>
      </c>
      <c r="M21" s="157">
        <v>499000</v>
      </c>
      <c r="N21" s="156"/>
      <c r="O21" s="211">
        <v>0</v>
      </c>
      <c r="P21" s="147">
        <v>0</v>
      </c>
      <c r="Q21" s="147">
        <v>0</v>
      </c>
      <c r="R21" s="220">
        <v>0</v>
      </c>
      <c r="S21" s="147"/>
      <c r="T21" s="211">
        <v>0</v>
      </c>
      <c r="U21" s="33">
        <v>45</v>
      </c>
      <c r="V21" s="147">
        <v>0</v>
      </c>
      <c r="W21" s="220">
        <v>0</v>
      </c>
      <c r="AI21" s="242"/>
      <c r="AJ21" s="242"/>
      <c r="AK21" s="242"/>
      <c r="AL21" s="242"/>
      <c r="AM21" s="242"/>
      <c r="AN21" s="242"/>
      <c r="AO21" s="242"/>
      <c r="AP21" s="242"/>
      <c r="AQ21" s="242"/>
    </row>
    <row r="22" spans="1:43" s="100" customFormat="1" x14ac:dyDescent="0.2">
      <c r="A22" s="82"/>
      <c r="B22" s="171"/>
      <c r="C22" s="151"/>
      <c r="D22" s="161"/>
      <c r="E22" s="151"/>
      <c r="F22" s="153"/>
      <c r="G22" s="153"/>
      <c r="H22" s="232" t="s">
        <v>24</v>
      </c>
      <c r="I22" s="151" t="s">
        <v>34</v>
      </c>
      <c r="J22" s="232">
        <v>42614</v>
      </c>
      <c r="K22" s="232">
        <v>44136</v>
      </c>
      <c r="L22" s="156">
        <v>508000</v>
      </c>
      <c r="M22" s="157">
        <v>528000</v>
      </c>
      <c r="N22" s="156"/>
      <c r="O22" s="211">
        <v>0</v>
      </c>
      <c r="P22" s="147">
        <v>0</v>
      </c>
      <c r="Q22" s="147">
        <v>0</v>
      </c>
      <c r="R22" s="220">
        <v>0</v>
      </c>
      <c r="S22" s="147"/>
      <c r="T22" s="211">
        <v>0</v>
      </c>
      <c r="U22" s="147">
        <v>0</v>
      </c>
      <c r="V22" s="147">
        <v>0</v>
      </c>
      <c r="W22" s="220">
        <v>0</v>
      </c>
      <c r="AI22" s="242"/>
      <c r="AJ22" s="242"/>
      <c r="AK22" s="242"/>
      <c r="AL22" s="242"/>
      <c r="AM22" s="242"/>
      <c r="AN22" s="242"/>
      <c r="AO22" s="242"/>
      <c r="AP22" s="242"/>
      <c r="AQ22" s="242"/>
    </row>
    <row r="23" spans="1:43" s="142" customFormat="1" x14ac:dyDescent="0.2">
      <c r="A23" s="241" t="s">
        <v>88</v>
      </c>
      <c r="B23" s="171" t="s">
        <v>89</v>
      </c>
      <c r="C23" s="151" t="s">
        <v>30</v>
      </c>
      <c r="D23" s="161" t="s">
        <v>37</v>
      </c>
      <c r="E23" s="151">
        <v>2009</v>
      </c>
      <c r="F23" s="153">
        <v>12000</v>
      </c>
      <c r="G23" s="153">
        <v>37500</v>
      </c>
      <c r="H23" s="232" t="s">
        <v>16</v>
      </c>
      <c r="I23" s="151" t="s">
        <v>18</v>
      </c>
      <c r="J23" s="232">
        <v>40575</v>
      </c>
      <c r="K23" s="232">
        <v>43678</v>
      </c>
      <c r="L23" s="156">
        <v>439000</v>
      </c>
      <c r="M23" s="157" t="s">
        <v>26</v>
      </c>
      <c r="N23" s="156"/>
      <c r="O23" s="211">
        <v>0</v>
      </c>
      <c r="P23" s="147">
        <v>0</v>
      </c>
      <c r="Q23" s="33">
        <v>16</v>
      </c>
      <c r="R23" s="96">
        <v>49</v>
      </c>
      <c r="S23" s="147"/>
      <c r="T23" s="211">
        <v>0</v>
      </c>
      <c r="U23" s="147">
        <v>0</v>
      </c>
      <c r="V23" s="147">
        <v>0</v>
      </c>
      <c r="W23" s="220">
        <v>0</v>
      </c>
      <c r="AI23" s="242"/>
      <c r="AJ23" s="242"/>
      <c r="AK23" s="242"/>
      <c r="AL23" s="242"/>
      <c r="AM23" s="242"/>
      <c r="AN23" s="242"/>
      <c r="AO23" s="242"/>
      <c r="AP23" s="242"/>
      <c r="AQ23" s="242"/>
    </row>
    <row r="24" spans="1:43" s="142" customFormat="1" x14ac:dyDescent="0.2">
      <c r="A24" s="241" t="s">
        <v>134</v>
      </c>
      <c r="B24" s="171"/>
      <c r="C24" s="151" t="s">
        <v>30</v>
      </c>
      <c r="D24" s="161" t="s">
        <v>37</v>
      </c>
      <c r="E24" s="151">
        <v>1999</v>
      </c>
      <c r="F24" s="153">
        <v>10000</v>
      </c>
      <c r="G24" s="153">
        <v>35000</v>
      </c>
      <c r="H24" s="232" t="s">
        <v>14</v>
      </c>
      <c r="I24" s="151" t="s">
        <v>135</v>
      </c>
      <c r="J24" s="232">
        <v>41670</v>
      </c>
      <c r="K24" s="324">
        <v>41973</v>
      </c>
      <c r="L24" s="156">
        <v>615000</v>
      </c>
      <c r="M24" s="157">
        <v>515000</v>
      </c>
      <c r="N24" s="156"/>
      <c r="O24" s="211">
        <v>0</v>
      </c>
      <c r="P24" s="147">
        <v>0</v>
      </c>
      <c r="Q24" s="33">
        <v>0</v>
      </c>
      <c r="R24" s="96">
        <v>7</v>
      </c>
      <c r="S24" s="147"/>
      <c r="T24" s="211">
        <v>0</v>
      </c>
      <c r="U24" s="147">
        <v>0</v>
      </c>
      <c r="V24" s="147">
        <v>0</v>
      </c>
      <c r="W24" s="220">
        <v>0</v>
      </c>
      <c r="AI24" s="242"/>
      <c r="AJ24" s="242"/>
      <c r="AK24" s="242"/>
      <c r="AL24" s="242"/>
      <c r="AM24" s="242"/>
      <c r="AN24" s="242"/>
      <c r="AO24" s="242"/>
      <c r="AP24" s="242"/>
      <c r="AQ24" s="242"/>
    </row>
    <row r="25" spans="1:43" s="122" customFormat="1" ht="14.25" customHeight="1" x14ac:dyDescent="0.2">
      <c r="A25" s="249" t="s">
        <v>90</v>
      </c>
      <c r="B25" s="171"/>
      <c r="C25" s="151" t="s">
        <v>30</v>
      </c>
      <c r="D25" s="161" t="s">
        <v>37</v>
      </c>
      <c r="E25" s="151">
        <v>2000</v>
      </c>
      <c r="F25" s="153">
        <v>10000</v>
      </c>
      <c r="G25" s="153">
        <v>35000</v>
      </c>
      <c r="H25" s="151" t="s">
        <v>14</v>
      </c>
      <c r="I25" s="151"/>
      <c r="J25" s="221"/>
      <c r="K25" s="224"/>
      <c r="L25" s="156"/>
      <c r="M25" s="157"/>
      <c r="N25" s="156"/>
      <c r="O25" s="211">
        <v>0</v>
      </c>
      <c r="P25" s="147">
        <v>0</v>
      </c>
      <c r="Q25" s="33">
        <v>69</v>
      </c>
      <c r="R25" s="96">
        <v>84</v>
      </c>
      <c r="S25" s="147"/>
      <c r="T25" s="85">
        <v>0</v>
      </c>
      <c r="U25" s="147">
        <v>0</v>
      </c>
      <c r="V25" s="33">
        <v>0</v>
      </c>
      <c r="W25" s="220">
        <v>0</v>
      </c>
      <c r="AI25" s="244"/>
      <c r="AJ25" s="244"/>
      <c r="AK25" s="244"/>
      <c r="AL25" s="244"/>
      <c r="AM25" s="244"/>
      <c r="AN25" s="244"/>
      <c r="AO25" s="244"/>
      <c r="AP25" s="244"/>
      <c r="AQ25" s="244"/>
    </row>
    <row r="26" spans="1:43" ht="15.2" customHeight="1" x14ac:dyDescent="0.2">
      <c r="A26" s="250" t="s">
        <v>91</v>
      </c>
      <c r="B26" s="171">
        <v>-6</v>
      </c>
      <c r="C26" s="151" t="s">
        <v>30</v>
      </c>
      <c r="D26" s="161" t="s">
        <v>37</v>
      </c>
      <c r="E26" s="151">
        <v>2000</v>
      </c>
      <c r="F26" s="153">
        <v>10000</v>
      </c>
      <c r="G26" s="153">
        <v>35000</v>
      </c>
      <c r="H26" s="151" t="s">
        <v>14</v>
      </c>
      <c r="I26" s="151" t="s">
        <v>8</v>
      </c>
      <c r="J26" s="221">
        <v>41671</v>
      </c>
      <c r="K26" s="221">
        <v>41852</v>
      </c>
      <c r="L26" s="156">
        <v>580000</v>
      </c>
      <c r="M26" s="157">
        <v>540000</v>
      </c>
      <c r="N26" s="156"/>
      <c r="O26" s="211">
        <v>0</v>
      </c>
      <c r="P26" s="147">
        <v>0</v>
      </c>
      <c r="Q26" s="33">
        <v>30</v>
      </c>
      <c r="R26" s="96">
        <v>91</v>
      </c>
      <c r="S26" s="147"/>
      <c r="T26" s="211">
        <v>0</v>
      </c>
      <c r="U26" s="147">
        <v>0</v>
      </c>
      <c r="V26" s="147">
        <v>0</v>
      </c>
      <c r="W26" s="220">
        <v>0</v>
      </c>
      <c r="AI26" s="243"/>
      <c r="AJ26" s="243"/>
      <c r="AK26" s="243"/>
      <c r="AL26" s="243"/>
      <c r="AM26" s="243"/>
      <c r="AN26" s="243"/>
      <c r="AO26" s="243"/>
      <c r="AP26" s="243"/>
      <c r="AQ26" s="243"/>
    </row>
    <row r="27" spans="1:43" s="122" customFormat="1" ht="15.2" customHeight="1" x14ac:dyDescent="0.2">
      <c r="A27" s="251" t="s">
        <v>92</v>
      </c>
      <c r="B27" s="193" t="s">
        <v>109</v>
      </c>
      <c r="C27" s="166" t="s">
        <v>30</v>
      </c>
      <c r="D27" s="161" t="s">
        <v>37</v>
      </c>
      <c r="E27" s="167">
        <v>2000</v>
      </c>
      <c r="F27" s="168">
        <v>10000</v>
      </c>
      <c r="G27" s="168">
        <v>35000</v>
      </c>
      <c r="H27" s="164" t="s">
        <v>47</v>
      </c>
      <c r="I27" s="164" t="s">
        <v>122</v>
      </c>
      <c r="J27" s="221">
        <v>41764</v>
      </c>
      <c r="K27" s="224">
        <v>41852</v>
      </c>
      <c r="L27" s="156">
        <v>480000</v>
      </c>
      <c r="M27" s="157">
        <v>297000</v>
      </c>
      <c r="N27" s="156"/>
      <c r="O27" s="211">
        <v>0</v>
      </c>
      <c r="P27" s="147">
        <v>0</v>
      </c>
      <c r="Q27" s="147">
        <v>0</v>
      </c>
      <c r="R27" s="220">
        <v>0</v>
      </c>
      <c r="S27" s="147"/>
      <c r="T27" s="211">
        <v>0</v>
      </c>
      <c r="U27" s="33">
        <v>32</v>
      </c>
      <c r="V27" s="33">
        <v>92</v>
      </c>
      <c r="W27" s="96">
        <v>0</v>
      </c>
      <c r="AI27" s="244"/>
      <c r="AJ27" s="244"/>
      <c r="AK27" s="244"/>
      <c r="AL27" s="244"/>
      <c r="AM27" s="244"/>
      <c r="AN27" s="244"/>
      <c r="AO27" s="244"/>
      <c r="AP27" s="244"/>
      <c r="AQ27" s="244"/>
    </row>
    <row r="28" spans="1:43" s="122" customFormat="1" ht="14.25" customHeight="1" x14ac:dyDescent="0.2">
      <c r="A28" s="249" t="s">
        <v>93</v>
      </c>
      <c r="B28" s="171">
        <v>-6</v>
      </c>
      <c r="C28" s="151" t="s">
        <v>30</v>
      </c>
      <c r="D28" s="161" t="s">
        <v>37</v>
      </c>
      <c r="E28" s="151">
        <v>1998</v>
      </c>
      <c r="F28" s="153">
        <v>10000</v>
      </c>
      <c r="G28" s="153">
        <v>30000</v>
      </c>
      <c r="H28" s="151" t="s">
        <v>14</v>
      </c>
      <c r="I28" s="151" t="s">
        <v>71</v>
      </c>
      <c r="J28" s="221">
        <v>40391</v>
      </c>
      <c r="K28" s="221">
        <v>42095</v>
      </c>
      <c r="L28" s="156">
        <v>681000</v>
      </c>
      <c r="M28" s="157">
        <v>550000</v>
      </c>
      <c r="N28" s="156"/>
      <c r="O28" s="211">
        <v>0</v>
      </c>
      <c r="P28" s="147">
        <v>0</v>
      </c>
      <c r="Q28" s="147">
        <v>0</v>
      </c>
      <c r="R28" s="96">
        <v>45</v>
      </c>
      <c r="S28" s="147"/>
      <c r="T28" s="85">
        <v>17</v>
      </c>
      <c r="U28" s="33">
        <v>0</v>
      </c>
      <c r="V28" s="147">
        <v>0</v>
      </c>
      <c r="W28" s="220">
        <v>0</v>
      </c>
      <c r="AI28" s="244"/>
      <c r="AJ28" s="244"/>
      <c r="AK28" s="244"/>
      <c r="AL28" s="244"/>
      <c r="AM28" s="244"/>
      <c r="AN28" s="244"/>
      <c r="AO28" s="244"/>
      <c r="AP28" s="244"/>
      <c r="AQ28" s="244"/>
    </row>
    <row r="29" spans="1:43" s="122" customFormat="1" ht="15.2" customHeight="1" x14ac:dyDescent="0.2">
      <c r="A29" s="250" t="s">
        <v>94</v>
      </c>
      <c r="B29" s="193" t="s">
        <v>124</v>
      </c>
      <c r="C29" s="151" t="s">
        <v>31</v>
      </c>
      <c r="D29" s="161" t="s">
        <v>37</v>
      </c>
      <c r="E29" s="151">
        <v>2001</v>
      </c>
      <c r="F29" s="153">
        <v>8500</v>
      </c>
      <c r="G29" s="153">
        <v>35000</v>
      </c>
      <c r="H29" s="151" t="s">
        <v>125</v>
      </c>
      <c r="I29" s="151" t="s">
        <v>112</v>
      </c>
      <c r="J29" s="221">
        <v>41846</v>
      </c>
      <c r="K29" s="224">
        <v>41904</v>
      </c>
      <c r="L29" s="222">
        <v>596000</v>
      </c>
      <c r="M29" s="157">
        <v>643000</v>
      </c>
      <c r="N29" s="156"/>
      <c r="O29" s="211">
        <v>0</v>
      </c>
      <c r="P29" s="147">
        <v>0</v>
      </c>
      <c r="Q29" s="147">
        <v>0</v>
      </c>
      <c r="R29" s="96">
        <v>54</v>
      </c>
      <c r="S29" s="147"/>
      <c r="T29" s="211">
        <v>0</v>
      </c>
      <c r="U29" s="147">
        <v>0</v>
      </c>
      <c r="V29" s="147">
        <v>0</v>
      </c>
      <c r="W29" s="220">
        <v>0</v>
      </c>
      <c r="AI29" s="244"/>
      <c r="AJ29" s="244"/>
      <c r="AK29" s="244"/>
      <c r="AL29" s="244"/>
      <c r="AM29" s="244"/>
      <c r="AN29" s="244"/>
      <c r="AO29" s="244"/>
      <c r="AP29" s="244"/>
      <c r="AQ29" s="244"/>
    </row>
    <row r="30" spans="1:43" s="122" customFormat="1" ht="15.2" customHeight="1" x14ac:dyDescent="0.2">
      <c r="A30" s="83"/>
      <c r="B30" s="193"/>
      <c r="C30" s="151"/>
      <c r="D30" s="161"/>
      <c r="E30" s="151"/>
      <c r="F30" s="153"/>
      <c r="G30" s="153"/>
      <c r="H30" s="151" t="s">
        <v>116</v>
      </c>
      <c r="I30" s="151" t="s">
        <v>115</v>
      </c>
      <c r="J30" s="224">
        <v>41974</v>
      </c>
      <c r="K30" s="221">
        <v>42309</v>
      </c>
      <c r="L30" s="222">
        <v>495000</v>
      </c>
      <c r="M30" s="157">
        <f>+L29</f>
        <v>596000</v>
      </c>
      <c r="N30" s="156"/>
      <c r="O30" s="211">
        <v>0</v>
      </c>
      <c r="P30" s="147">
        <v>0</v>
      </c>
      <c r="Q30" s="147">
        <v>0</v>
      </c>
      <c r="R30" s="220">
        <v>0</v>
      </c>
      <c r="S30" s="147"/>
      <c r="T30" s="211">
        <v>0</v>
      </c>
      <c r="U30" s="147">
        <v>0</v>
      </c>
      <c r="V30" s="147">
        <v>0</v>
      </c>
      <c r="W30" s="220">
        <v>0</v>
      </c>
      <c r="AI30" s="244"/>
      <c r="AJ30" s="244"/>
      <c r="AK30" s="244"/>
      <c r="AL30" s="244"/>
      <c r="AM30" s="244"/>
      <c r="AN30" s="244"/>
      <c r="AO30" s="244"/>
      <c r="AP30" s="244"/>
      <c r="AQ30" s="244"/>
    </row>
    <row r="31" spans="1:43" ht="14.25" customHeight="1" x14ac:dyDescent="0.2">
      <c r="A31" s="249" t="s">
        <v>95</v>
      </c>
      <c r="B31" s="171" t="s">
        <v>110</v>
      </c>
      <c r="C31" s="151" t="s">
        <v>31</v>
      </c>
      <c r="D31" s="151"/>
      <c r="E31" s="151">
        <v>2000</v>
      </c>
      <c r="F31" s="153">
        <v>8000</v>
      </c>
      <c r="G31" s="153">
        <v>30000</v>
      </c>
      <c r="H31" s="151" t="s">
        <v>14</v>
      </c>
      <c r="I31" s="151" t="s">
        <v>20</v>
      </c>
      <c r="J31" s="74">
        <v>41122</v>
      </c>
      <c r="K31" s="74">
        <v>42948</v>
      </c>
      <c r="L31" s="156">
        <v>533000</v>
      </c>
      <c r="M31" s="157">
        <v>551000</v>
      </c>
      <c r="N31" s="156"/>
      <c r="O31" s="211">
        <v>0</v>
      </c>
      <c r="P31" s="147">
        <v>0</v>
      </c>
      <c r="Q31" s="147">
        <v>0</v>
      </c>
      <c r="R31" s="96">
        <v>0</v>
      </c>
      <c r="S31" s="33"/>
      <c r="T31" s="85">
        <v>90</v>
      </c>
      <c r="U31" s="33">
        <v>45</v>
      </c>
      <c r="V31" s="147">
        <v>0</v>
      </c>
      <c r="W31" s="220">
        <v>0</v>
      </c>
      <c r="AI31" s="243"/>
      <c r="AJ31" s="243"/>
      <c r="AK31" s="243"/>
      <c r="AL31" s="243"/>
      <c r="AM31" s="243"/>
      <c r="AN31" s="243"/>
      <c r="AO31" s="243"/>
      <c r="AP31" s="243"/>
      <c r="AQ31" s="243"/>
    </row>
    <row r="32" spans="1:43" s="122" customFormat="1" x14ac:dyDescent="0.2">
      <c r="A32" s="250" t="s">
        <v>42</v>
      </c>
      <c r="B32" s="193"/>
      <c r="C32" s="144" t="s">
        <v>30</v>
      </c>
      <c r="D32" s="161" t="s">
        <v>37</v>
      </c>
      <c r="E32" s="144" t="s">
        <v>43</v>
      </c>
      <c r="F32" s="153">
        <v>7800</v>
      </c>
      <c r="G32" s="145">
        <v>30000</v>
      </c>
      <c r="H32" s="151" t="s">
        <v>24</v>
      </c>
      <c r="I32" s="295" t="s">
        <v>25</v>
      </c>
      <c r="J32" s="221">
        <v>41456</v>
      </c>
      <c r="K32" s="224">
        <v>41943</v>
      </c>
      <c r="L32" s="156">
        <v>412000</v>
      </c>
      <c r="M32" s="157" t="s">
        <v>26</v>
      </c>
      <c r="N32" s="156"/>
      <c r="O32" s="211">
        <v>0</v>
      </c>
      <c r="P32" s="147">
        <v>0</v>
      </c>
      <c r="Q32" s="147">
        <v>0</v>
      </c>
      <c r="R32" s="220">
        <v>0</v>
      </c>
      <c r="S32" s="147"/>
      <c r="T32" s="211">
        <v>0</v>
      </c>
      <c r="U32" s="147">
        <v>0</v>
      </c>
      <c r="V32" s="147">
        <v>0</v>
      </c>
      <c r="W32" s="220">
        <v>0</v>
      </c>
      <c r="AI32" s="244"/>
      <c r="AJ32" s="244"/>
      <c r="AK32" s="244"/>
      <c r="AL32" s="244"/>
      <c r="AM32" s="244"/>
      <c r="AN32" s="244"/>
      <c r="AO32" s="244"/>
      <c r="AP32" s="244"/>
      <c r="AQ32" s="244"/>
    </row>
    <row r="33" spans="1:43" s="32" customFormat="1" ht="14.25" customHeight="1" x14ac:dyDescent="0.2">
      <c r="A33" s="248" t="s">
        <v>100</v>
      </c>
      <c r="B33" s="329">
        <v>-14</v>
      </c>
      <c r="C33" s="283" t="s">
        <v>31</v>
      </c>
      <c r="D33" s="161" t="s">
        <v>37</v>
      </c>
      <c r="E33" s="151">
        <v>2001</v>
      </c>
      <c r="F33" s="153">
        <v>7500</v>
      </c>
      <c r="G33" s="153">
        <v>35000</v>
      </c>
      <c r="H33" s="238" t="s">
        <v>72</v>
      </c>
      <c r="I33" s="284" t="s">
        <v>21</v>
      </c>
      <c r="J33" s="285">
        <v>41901</v>
      </c>
      <c r="K33" s="285">
        <v>42301</v>
      </c>
      <c r="L33" s="223">
        <v>395000</v>
      </c>
      <c r="M33" s="157" t="s">
        <v>26</v>
      </c>
      <c r="N33" s="156"/>
      <c r="O33" s="286">
        <v>0</v>
      </c>
      <c r="P33" s="287">
        <v>0</v>
      </c>
      <c r="Q33" s="147">
        <v>0</v>
      </c>
      <c r="R33" s="220">
        <v>0</v>
      </c>
      <c r="S33" s="147"/>
      <c r="T33" s="211">
        <v>0</v>
      </c>
      <c r="U33" s="147">
        <v>0</v>
      </c>
      <c r="V33" s="147">
        <v>0</v>
      </c>
      <c r="W33" s="96">
        <v>81</v>
      </c>
      <c r="AI33" s="185"/>
      <c r="AJ33" s="185"/>
      <c r="AK33" s="185"/>
      <c r="AL33" s="185"/>
      <c r="AM33" s="185"/>
      <c r="AN33" s="185"/>
      <c r="AO33" s="185"/>
      <c r="AP33" s="185"/>
      <c r="AQ33" s="185"/>
    </row>
    <row r="34" spans="1:43" s="32" customFormat="1" ht="14.25" customHeight="1" x14ac:dyDescent="0.2">
      <c r="A34" s="252" t="s">
        <v>96</v>
      </c>
      <c r="B34" s="233">
        <v>-13</v>
      </c>
      <c r="C34" s="229" t="s">
        <v>31</v>
      </c>
      <c r="D34" s="235" t="s">
        <v>37</v>
      </c>
      <c r="E34" s="229">
        <v>2001</v>
      </c>
      <c r="F34" s="87">
        <v>7500</v>
      </c>
      <c r="G34" s="87">
        <v>35000</v>
      </c>
      <c r="H34" s="229" t="s">
        <v>19</v>
      </c>
      <c r="I34" s="229" t="s">
        <v>71</v>
      </c>
      <c r="J34" s="234">
        <v>41730</v>
      </c>
      <c r="K34" s="234">
        <v>41913</v>
      </c>
      <c r="L34" s="230">
        <v>455000</v>
      </c>
      <c r="M34" s="231">
        <v>600000</v>
      </c>
      <c r="N34" s="156"/>
      <c r="O34" s="212">
        <v>0</v>
      </c>
      <c r="P34" s="155">
        <v>0</v>
      </c>
      <c r="Q34" s="155">
        <v>0</v>
      </c>
      <c r="R34" s="162">
        <v>0</v>
      </c>
      <c r="S34" s="147"/>
      <c r="T34" s="212">
        <v>0</v>
      </c>
      <c r="U34" s="155">
        <v>0</v>
      </c>
      <c r="V34" s="246">
        <v>75</v>
      </c>
      <c r="W34" s="247">
        <v>13</v>
      </c>
      <c r="AI34" s="185"/>
      <c r="AJ34" s="185"/>
      <c r="AK34" s="185"/>
      <c r="AL34" s="185"/>
      <c r="AM34" s="185"/>
      <c r="AN34" s="185"/>
      <c r="AO34" s="185"/>
      <c r="AP34" s="185"/>
      <c r="AQ34" s="185"/>
    </row>
    <row r="35" spans="1:43" s="32" customFormat="1" ht="6" customHeight="1" x14ac:dyDescent="0.2">
      <c r="A35" s="184"/>
      <c r="B35" s="222"/>
      <c r="C35" s="151"/>
      <c r="D35" s="73"/>
      <c r="E35" s="151"/>
      <c r="F35" s="153"/>
      <c r="G35" s="153"/>
      <c r="H35" s="74"/>
      <c r="I35" s="74"/>
      <c r="J35" s="74"/>
      <c r="K35" s="74"/>
      <c r="L35" s="150"/>
      <c r="M35" s="150"/>
      <c r="N35" s="150"/>
      <c r="O35" s="300"/>
      <c r="P35" s="147"/>
      <c r="Q35" s="147"/>
      <c r="R35" s="147"/>
      <c r="S35" s="147"/>
      <c r="T35" s="304"/>
      <c r="U35" s="185"/>
      <c r="V35" s="185"/>
      <c r="W35" s="75"/>
      <c r="AI35" s="185"/>
      <c r="AJ35" s="185"/>
      <c r="AK35" s="185"/>
      <c r="AL35" s="185"/>
      <c r="AM35" s="185"/>
      <c r="AN35" s="185"/>
      <c r="AO35" s="185"/>
      <c r="AP35" s="185"/>
      <c r="AQ35" s="185"/>
    </row>
    <row r="36" spans="1:43" ht="15" x14ac:dyDescent="0.2">
      <c r="A36" s="172" t="s">
        <v>145</v>
      </c>
      <c r="B36" s="178"/>
      <c r="C36" s="174"/>
      <c r="D36" s="175"/>
      <c r="E36" s="176"/>
      <c r="F36" s="175"/>
      <c r="G36" s="175"/>
      <c r="H36" s="175"/>
      <c r="I36" s="175"/>
      <c r="J36" s="200"/>
      <c r="K36" s="200"/>
      <c r="L36" s="203"/>
      <c r="M36" s="204"/>
      <c r="N36" s="299"/>
      <c r="O36" s="177"/>
      <c r="P36" s="158"/>
      <c r="Q36" s="158"/>
      <c r="R36" s="159"/>
      <c r="S36" s="309"/>
      <c r="T36" s="254"/>
      <c r="U36" s="254"/>
      <c r="V36" s="254"/>
      <c r="W36" s="255"/>
      <c r="AI36" s="243"/>
      <c r="AJ36" s="243"/>
      <c r="AK36" s="243"/>
      <c r="AL36" s="243"/>
      <c r="AM36" s="243"/>
      <c r="AN36" s="243"/>
      <c r="AO36" s="243"/>
      <c r="AP36" s="243"/>
      <c r="AQ36" s="243"/>
    </row>
    <row r="37" spans="1:43" s="32" customFormat="1" ht="6" customHeight="1" x14ac:dyDescent="0.2">
      <c r="A37" s="81"/>
      <c r="B37" s="171"/>
      <c r="C37" s="76"/>
      <c r="D37" s="76"/>
      <c r="E37" s="77"/>
      <c r="F37" s="78"/>
      <c r="G37" s="78"/>
      <c r="H37" s="79"/>
      <c r="I37" s="74"/>
      <c r="J37" s="74"/>
      <c r="K37" s="74"/>
      <c r="L37" s="80"/>
      <c r="M37" s="106"/>
      <c r="N37" s="80"/>
      <c r="O37" s="128"/>
      <c r="P37" s="129"/>
      <c r="Q37" s="129"/>
      <c r="R37" s="130"/>
      <c r="S37" s="154"/>
      <c r="T37" s="210"/>
      <c r="U37" s="154"/>
      <c r="V37" s="154"/>
      <c r="W37" s="163"/>
      <c r="AI37" s="185"/>
      <c r="AJ37" s="185"/>
      <c r="AK37" s="185"/>
      <c r="AL37" s="185"/>
      <c r="AM37" s="185"/>
      <c r="AN37" s="185"/>
      <c r="AO37" s="185"/>
      <c r="AP37" s="185"/>
      <c r="AQ37" s="185"/>
    </row>
    <row r="38" spans="1:43" s="148" customFormat="1" ht="15.2" customHeight="1" x14ac:dyDescent="0.2">
      <c r="A38" s="248" t="s">
        <v>97</v>
      </c>
      <c r="B38" s="171" t="s">
        <v>130</v>
      </c>
      <c r="C38" s="151" t="s">
        <v>30</v>
      </c>
      <c r="D38" s="73" t="s">
        <v>37</v>
      </c>
      <c r="E38" s="151" t="s">
        <v>0</v>
      </c>
      <c r="F38" s="153">
        <v>7200</v>
      </c>
      <c r="G38" s="153">
        <v>25000</v>
      </c>
      <c r="H38" s="151" t="s">
        <v>16</v>
      </c>
      <c r="I38" s="151" t="s">
        <v>18</v>
      </c>
      <c r="J38" s="74">
        <v>40664</v>
      </c>
      <c r="K38" s="74">
        <v>42401</v>
      </c>
      <c r="L38" s="156">
        <v>377000</v>
      </c>
      <c r="M38" s="157">
        <v>190000</v>
      </c>
      <c r="N38" s="156"/>
      <c r="O38" s="211">
        <v>0</v>
      </c>
      <c r="P38" s="147">
        <v>0</v>
      </c>
      <c r="Q38" s="33">
        <v>16</v>
      </c>
      <c r="R38" s="96">
        <v>1</v>
      </c>
      <c r="S38" s="147"/>
      <c r="T38" s="211">
        <v>0</v>
      </c>
      <c r="U38" s="33">
        <v>45</v>
      </c>
      <c r="V38" s="147">
        <v>0</v>
      </c>
      <c r="W38" s="220">
        <v>0</v>
      </c>
      <c r="AI38" s="185"/>
      <c r="AJ38" s="185"/>
      <c r="AK38" s="185"/>
      <c r="AL38" s="185"/>
      <c r="AM38" s="185"/>
      <c r="AN38" s="185"/>
      <c r="AO38" s="185"/>
      <c r="AP38" s="185"/>
      <c r="AQ38" s="185"/>
    </row>
    <row r="39" spans="1:43" s="148" customFormat="1" x14ac:dyDescent="0.2">
      <c r="A39" s="248" t="s">
        <v>51</v>
      </c>
      <c r="B39" s="171"/>
      <c r="C39" s="151" t="s">
        <v>31</v>
      </c>
      <c r="D39" s="151"/>
      <c r="E39" s="151" t="s">
        <v>44</v>
      </c>
      <c r="F39" s="153">
        <v>5750</v>
      </c>
      <c r="G39" s="153">
        <v>25000</v>
      </c>
      <c r="H39" s="151" t="s">
        <v>23</v>
      </c>
      <c r="I39" s="151" t="s">
        <v>35</v>
      </c>
      <c r="J39" s="221">
        <v>41487</v>
      </c>
      <c r="K39" s="221">
        <v>41913</v>
      </c>
      <c r="L39" s="222">
        <v>328000</v>
      </c>
      <c r="M39" s="157">
        <v>324000</v>
      </c>
      <c r="N39" s="80"/>
      <c r="O39" s="210">
        <v>0</v>
      </c>
      <c r="P39" s="154">
        <v>0</v>
      </c>
      <c r="Q39" s="154">
        <v>0</v>
      </c>
      <c r="R39" s="163">
        <v>18</v>
      </c>
      <c r="S39" s="154"/>
      <c r="T39" s="210">
        <v>0</v>
      </c>
      <c r="U39" s="154">
        <v>0</v>
      </c>
      <c r="V39" s="154">
        <v>0</v>
      </c>
      <c r="W39" s="163">
        <v>0</v>
      </c>
      <c r="AI39" s="185"/>
      <c r="AJ39" s="185"/>
      <c r="AK39" s="185"/>
      <c r="AL39" s="185"/>
      <c r="AM39" s="185"/>
      <c r="AN39" s="185"/>
      <c r="AO39" s="185"/>
      <c r="AP39" s="185"/>
      <c r="AQ39" s="185"/>
    </row>
    <row r="40" spans="1:43" s="148" customFormat="1" x14ac:dyDescent="0.2">
      <c r="A40" s="248"/>
      <c r="B40" s="171"/>
      <c r="C40" s="151"/>
      <c r="D40" s="151"/>
      <c r="E40" s="151"/>
      <c r="F40" s="153"/>
      <c r="G40" s="153"/>
      <c r="H40" s="238" t="s">
        <v>23</v>
      </c>
      <c r="I40" s="238" t="s">
        <v>123</v>
      </c>
      <c r="J40" s="224">
        <v>41961</v>
      </c>
      <c r="K40" s="224">
        <v>42004</v>
      </c>
      <c r="L40" s="127">
        <v>338000</v>
      </c>
      <c r="M40" s="157">
        <f>L39</f>
        <v>328000</v>
      </c>
      <c r="N40" s="80"/>
      <c r="O40" s="210"/>
      <c r="P40" s="154"/>
      <c r="Q40" s="154"/>
      <c r="R40" s="163"/>
      <c r="S40" s="154"/>
      <c r="T40" s="210"/>
      <c r="U40" s="154"/>
      <c r="V40" s="154"/>
      <c r="W40" s="163"/>
      <c r="AI40" s="185"/>
      <c r="AJ40" s="185"/>
      <c r="AK40" s="185"/>
      <c r="AL40" s="185"/>
      <c r="AM40" s="185"/>
      <c r="AN40" s="185"/>
      <c r="AO40" s="185"/>
      <c r="AP40" s="185"/>
      <c r="AQ40" s="185"/>
    </row>
    <row r="41" spans="1:43" s="148" customFormat="1" x14ac:dyDescent="0.2">
      <c r="A41" s="256" t="s">
        <v>27</v>
      </c>
      <c r="B41" s="233">
        <v>-7</v>
      </c>
      <c r="C41" s="229" t="s">
        <v>31</v>
      </c>
      <c r="D41" s="229"/>
      <c r="E41" s="229" t="s">
        <v>28</v>
      </c>
      <c r="F41" s="87">
        <v>5400</v>
      </c>
      <c r="G41" s="87">
        <v>30000</v>
      </c>
      <c r="H41" s="294" t="s">
        <v>22</v>
      </c>
      <c r="I41" s="294" t="s">
        <v>126</v>
      </c>
      <c r="J41" s="290">
        <v>41913</v>
      </c>
      <c r="K41" s="290">
        <v>42052</v>
      </c>
      <c r="L41" s="258">
        <v>420000</v>
      </c>
      <c r="M41" s="231">
        <v>380000</v>
      </c>
      <c r="N41" s="80"/>
      <c r="O41" s="109">
        <v>0</v>
      </c>
      <c r="P41" s="43">
        <v>0</v>
      </c>
      <c r="Q41" s="43">
        <v>0</v>
      </c>
      <c r="R41" s="124">
        <v>0</v>
      </c>
      <c r="S41" s="154"/>
      <c r="T41" s="109">
        <v>0</v>
      </c>
      <c r="U41" s="43">
        <v>0</v>
      </c>
      <c r="V41" s="43">
        <v>0</v>
      </c>
      <c r="W41" s="124">
        <v>0</v>
      </c>
      <c r="AI41" s="185"/>
      <c r="AJ41" s="185"/>
      <c r="AK41" s="185"/>
      <c r="AL41" s="185"/>
      <c r="AM41" s="185"/>
      <c r="AN41" s="185"/>
      <c r="AO41" s="185"/>
      <c r="AP41" s="185"/>
      <c r="AQ41" s="185"/>
    </row>
    <row r="42" spans="1:43" s="32" customFormat="1" ht="6" customHeight="1" x14ac:dyDescent="0.2">
      <c r="A42" s="92"/>
      <c r="B42" s="156"/>
      <c r="C42" s="76"/>
      <c r="D42" s="76"/>
      <c r="E42" s="77"/>
      <c r="F42" s="78"/>
      <c r="G42" s="78"/>
      <c r="H42" s="79"/>
      <c r="I42" s="74"/>
      <c r="J42" s="74"/>
      <c r="K42" s="74"/>
      <c r="L42" s="80"/>
      <c r="M42" s="80"/>
      <c r="N42" s="80"/>
      <c r="O42" s="302"/>
      <c r="P42" s="146"/>
      <c r="Q42" s="146"/>
      <c r="R42" s="146"/>
      <c r="S42" s="146"/>
      <c r="T42" s="306"/>
      <c r="U42" s="146"/>
      <c r="V42" s="146"/>
      <c r="W42" s="217"/>
      <c r="AI42" s="185"/>
      <c r="AJ42" s="185"/>
      <c r="AK42" s="185"/>
      <c r="AL42" s="185"/>
      <c r="AM42" s="185"/>
      <c r="AN42" s="185"/>
      <c r="AO42" s="185"/>
      <c r="AP42" s="185"/>
      <c r="AQ42" s="185"/>
    </row>
    <row r="43" spans="1:43" s="32" customFormat="1" ht="15" x14ac:dyDescent="0.2">
      <c r="A43" s="172" t="s">
        <v>146</v>
      </c>
      <c r="B43" s="178"/>
      <c r="C43" s="174"/>
      <c r="D43" s="175"/>
      <c r="E43" s="176"/>
      <c r="F43" s="175"/>
      <c r="G43" s="175"/>
      <c r="H43" s="175"/>
      <c r="I43" s="175"/>
      <c r="J43" s="200"/>
      <c r="K43" s="200"/>
      <c r="L43" s="203"/>
      <c r="M43" s="204"/>
      <c r="N43" s="299"/>
      <c r="O43" s="301"/>
      <c r="P43" s="158"/>
      <c r="Q43" s="158"/>
      <c r="R43" s="159"/>
      <c r="S43" s="305"/>
      <c r="T43" s="253"/>
      <c r="U43" s="254"/>
      <c r="V43" s="254"/>
      <c r="W43" s="255"/>
      <c r="AI43" s="185"/>
      <c r="AJ43" s="185"/>
      <c r="AK43" s="185"/>
      <c r="AL43" s="185"/>
      <c r="AM43" s="185"/>
      <c r="AN43" s="185"/>
      <c r="AO43" s="185"/>
      <c r="AP43" s="185"/>
      <c r="AQ43" s="185"/>
    </row>
    <row r="44" spans="1:43" s="5" customFormat="1" ht="6" customHeight="1" x14ac:dyDescent="0.2">
      <c r="A44" s="81"/>
      <c r="B44" s="171"/>
      <c r="C44" s="76"/>
      <c r="D44" s="76"/>
      <c r="E44" s="77"/>
      <c r="F44" s="78"/>
      <c r="G44" s="78"/>
      <c r="H44" s="79"/>
      <c r="I44" s="74"/>
      <c r="J44" s="74"/>
      <c r="K44" s="74"/>
      <c r="L44" s="80"/>
      <c r="M44" s="106"/>
      <c r="N44" s="80"/>
      <c r="O44" s="211"/>
      <c r="P44" s="147"/>
      <c r="Q44" s="147"/>
      <c r="R44" s="219"/>
      <c r="S44" s="147"/>
      <c r="T44" s="211"/>
      <c r="U44" s="147"/>
      <c r="V44" s="147"/>
      <c r="W44" s="220"/>
      <c r="AI44" s="245"/>
      <c r="AJ44" s="245"/>
      <c r="AK44" s="245"/>
      <c r="AL44" s="245"/>
      <c r="AM44" s="245"/>
      <c r="AN44" s="245"/>
      <c r="AO44" s="245"/>
      <c r="AP44" s="245"/>
      <c r="AQ44" s="245"/>
    </row>
    <row r="45" spans="1:43" s="32" customFormat="1" ht="39.75" customHeight="1" x14ac:dyDescent="0.2">
      <c r="A45" s="257" t="s">
        <v>84</v>
      </c>
      <c r="B45" s="193" t="s">
        <v>85</v>
      </c>
      <c r="C45" s="151" t="s">
        <v>31</v>
      </c>
      <c r="D45" s="151"/>
      <c r="E45" s="151">
        <v>1986</v>
      </c>
      <c r="F45" s="153">
        <v>1650</v>
      </c>
      <c r="G45" s="153">
        <v>25000</v>
      </c>
      <c r="H45" s="151" t="s">
        <v>17</v>
      </c>
      <c r="I45" s="151" t="s">
        <v>52</v>
      </c>
      <c r="J45" s="221">
        <v>41851</v>
      </c>
      <c r="K45" s="221">
        <v>42400</v>
      </c>
      <c r="L45" s="223">
        <v>414000</v>
      </c>
      <c r="M45" s="157">
        <v>414000</v>
      </c>
      <c r="N45" s="156"/>
      <c r="O45" s="211">
        <v>0</v>
      </c>
      <c r="P45" s="147">
        <v>0</v>
      </c>
      <c r="Q45" s="33">
        <v>70.104166666666671</v>
      </c>
      <c r="R45" s="96">
        <v>14</v>
      </c>
      <c r="S45" s="147"/>
      <c r="T45" s="211">
        <v>0</v>
      </c>
      <c r="U45" s="147">
        <v>0</v>
      </c>
      <c r="V45" s="147">
        <v>0</v>
      </c>
      <c r="W45" s="220">
        <v>0</v>
      </c>
      <c r="AI45" s="154"/>
      <c r="AJ45" s="154"/>
      <c r="AK45" s="154"/>
      <c r="AL45" s="154"/>
      <c r="AM45" s="154"/>
      <c r="AN45" s="154"/>
      <c r="AO45" s="154"/>
      <c r="AP45" s="154"/>
      <c r="AQ45" s="154"/>
    </row>
    <row r="46" spans="1:43" s="32" customFormat="1" x14ac:dyDescent="0.2">
      <c r="A46" s="125"/>
      <c r="B46" s="123" t="s">
        <v>85</v>
      </c>
      <c r="C46" s="229"/>
      <c r="D46" s="229"/>
      <c r="E46" s="229"/>
      <c r="F46" s="87"/>
      <c r="G46" s="87"/>
      <c r="H46" s="229" t="s">
        <v>17</v>
      </c>
      <c r="I46" s="229" t="s">
        <v>117</v>
      </c>
      <c r="J46" s="234">
        <f>K45</f>
        <v>42400</v>
      </c>
      <c r="K46" s="234">
        <v>42522</v>
      </c>
      <c r="L46" s="258">
        <v>513000</v>
      </c>
      <c r="M46" s="291">
        <f>L45</f>
        <v>414000</v>
      </c>
      <c r="N46" s="171"/>
      <c r="O46" s="212">
        <v>0</v>
      </c>
      <c r="P46" s="155">
        <v>0</v>
      </c>
      <c r="Q46" s="155">
        <v>0</v>
      </c>
      <c r="R46" s="162">
        <v>0</v>
      </c>
      <c r="S46" s="147"/>
      <c r="T46" s="212">
        <v>0</v>
      </c>
      <c r="U46" s="155">
        <v>0</v>
      </c>
      <c r="V46" s="155">
        <v>0</v>
      </c>
      <c r="W46" s="162">
        <v>0</v>
      </c>
      <c r="AI46" s="185"/>
      <c r="AJ46" s="185"/>
      <c r="AK46" s="185"/>
      <c r="AL46" s="185"/>
      <c r="AM46" s="185"/>
      <c r="AN46" s="185"/>
      <c r="AO46" s="185"/>
      <c r="AP46" s="185"/>
      <c r="AQ46" s="185"/>
    </row>
    <row r="47" spans="1:43" s="32" customFormat="1" ht="6" customHeight="1" x14ac:dyDescent="0.2">
      <c r="A47" s="184"/>
      <c r="B47" s="222"/>
      <c r="C47" s="151"/>
      <c r="D47" s="151"/>
      <c r="E47" s="151"/>
      <c r="F47" s="153"/>
      <c r="G47" s="153"/>
      <c r="H47" s="151"/>
      <c r="I47" s="151"/>
      <c r="J47" s="74"/>
      <c r="K47" s="74"/>
      <c r="L47" s="150"/>
      <c r="M47" s="150"/>
      <c r="N47" s="150"/>
      <c r="O47" s="303">
        <v>0</v>
      </c>
      <c r="P47" s="154">
        <v>0</v>
      </c>
      <c r="Q47" s="154">
        <v>0</v>
      </c>
      <c r="R47" s="154">
        <v>0</v>
      </c>
      <c r="S47" s="154"/>
      <c r="T47" s="185"/>
      <c r="U47" s="185"/>
      <c r="V47" s="185"/>
      <c r="W47" s="75"/>
      <c r="AI47" s="185"/>
      <c r="AJ47" s="185"/>
      <c r="AK47" s="185"/>
      <c r="AL47" s="185"/>
      <c r="AM47" s="185"/>
      <c r="AN47" s="185"/>
      <c r="AO47" s="185"/>
      <c r="AP47" s="185"/>
      <c r="AQ47" s="185"/>
    </row>
    <row r="48" spans="1:43" s="32" customFormat="1" ht="14.25" customHeight="1" x14ac:dyDescent="0.2">
      <c r="A48" s="262" t="s">
        <v>138</v>
      </c>
      <c r="B48" s="263"/>
      <c r="C48" s="264"/>
      <c r="D48" s="265"/>
      <c r="E48" s="266"/>
      <c r="F48" s="265"/>
      <c r="G48" s="265"/>
      <c r="H48" s="265"/>
      <c r="I48" s="265"/>
      <c r="J48" s="267"/>
      <c r="K48" s="267"/>
      <c r="L48" s="268"/>
      <c r="M48" s="269"/>
      <c r="N48" s="299"/>
      <c r="O48" s="270"/>
      <c r="P48" s="254"/>
      <c r="Q48" s="254"/>
      <c r="R48" s="255"/>
      <c r="S48" s="199"/>
      <c r="T48" s="253"/>
      <c r="U48" s="254"/>
      <c r="V48" s="254"/>
      <c r="W48" s="255"/>
      <c r="AI48" s="185"/>
      <c r="AJ48" s="185"/>
      <c r="AK48" s="185"/>
      <c r="AL48" s="185"/>
      <c r="AM48" s="185"/>
      <c r="AN48" s="185"/>
      <c r="AO48" s="185"/>
      <c r="AP48" s="185"/>
      <c r="AQ48" s="185"/>
    </row>
    <row r="49" spans="1:43" s="32" customFormat="1" ht="6" customHeight="1" x14ac:dyDescent="0.2">
      <c r="A49" s="271"/>
      <c r="B49" s="272"/>
      <c r="C49" s="273"/>
      <c r="D49" s="273"/>
      <c r="E49" s="274"/>
      <c r="F49" s="275"/>
      <c r="G49" s="275"/>
      <c r="H49" s="276"/>
      <c r="I49" s="277"/>
      <c r="J49" s="277"/>
      <c r="K49" s="277"/>
      <c r="L49" s="278"/>
      <c r="M49" s="279"/>
      <c r="N49" s="80"/>
      <c r="O49" s="128"/>
      <c r="P49" s="129"/>
      <c r="Q49" s="129"/>
      <c r="R49" s="130"/>
      <c r="S49" s="154"/>
      <c r="T49" s="210"/>
      <c r="U49" s="154"/>
      <c r="V49" s="154"/>
      <c r="W49" s="163"/>
      <c r="AI49" s="185"/>
      <c r="AJ49" s="185"/>
      <c r="AK49" s="185"/>
      <c r="AL49" s="185"/>
      <c r="AM49" s="185"/>
      <c r="AN49" s="185"/>
      <c r="AO49" s="185"/>
      <c r="AP49" s="185"/>
      <c r="AQ49" s="185"/>
    </row>
    <row r="50" spans="1:43" s="148" customFormat="1" ht="13.5" customHeight="1" x14ac:dyDescent="0.2">
      <c r="A50" s="259" t="s">
        <v>49</v>
      </c>
      <c r="B50" s="193"/>
      <c r="C50" s="151" t="s">
        <v>31</v>
      </c>
      <c r="D50" s="151"/>
      <c r="E50" s="151">
        <v>1983</v>
      </c>
      <c r="F50" s="153">
        <v>2800</v>
      </c>
      <c r="G50" s="153">
        <v>25000</v>
      </c>
      <c r="H50" s="151" t="s">
        <v>72</v>
      </c>
      <c r="I50" s="151" t="s">
        <v>21</v>
      </c>
      <c r="J50" s="221">
        <v>41456</v>
      </c>
      <c r="K50" s="224">
        <v>41867</v>
      </c>
      <c r="L50" s="223">
        <v>387000</v>
      </c>
      <c r="M50" s="157">
        <v>340000</v>
      </c>
      <c r="N50" s="156"/>
      <c r="O50" s="211">
        <v>0</v>
      </c>
      <c r="P50" s="147">
        <v>0</v>
      </c>
      <c r="Q50" s="147">
        <v>0</v>
      </c>
      <c r="R50" s="220">
        <v>0</v>
      </c>
      <c r="S50" s="147"/>
      <c r="T50" s="211">
        <v>0</v>
      </c>
      <c r="U50" s="147">
        <v>0</v>
      </c>
      <c r="V50" s="147">
        <v>0</v>
      </c>
      <c r="W50" s="220">
        <v>0</v>
      </c>
      <c r="AI50" s="185"/>
      <c r="AJ50" s="185"/>
      <c r="AK50" s="185"/>
      <c r="AL50" s="185"/>
      <c r="AM50" s="185"/>
      <c r="AN50" s="185"/>
      <c r="AO50" s="185"/>
      <c r="AP50" s="185"/>
      <c r="AQ50" s="185"/>
    </row>
    <row r="51" spans="1:43" s="148" customFormat="1" ht="13.5" customHeight="1" x14ac:dyDescent="0.2">
      <c r="A51" s="259"/>
      <c r="B51" s="336" t="s">
        <v>60</v>
      </c>
      <c r="C51" s="151"/>
      <c r="D51" s="151"/>
      <c r="E51" s="151"/>
      <c r="F51" s="153"/>
      <c r="G51" s="153"/>
      <c r="H51" s="238" t="s">
        <v>19</v>
      </c>
      <c r="I51" s="238" t="s">
        <v>140</v>
      </c>
      <c r="J51" s="224">
        <v>41944</v>
      </c>
      <c r="K51" s="224">
        <v>42141</v>
      </c>
      <c r="L51" s="223">
        <v>311000</v>
      </c>
      <c r="M51" s="328">
        <v>387000</v>
      </c>
      <c r="N51" s="156"/>
      <c r="O51" s="211"/>
      <c r="P51" s="147"/>
      <c r="Q51" s="147"/>
      <c r="R51" s="220"/>
      <c r="S51" s="147"/>
      <c r="T51" s="211"/>
      <c r="U51" s="147"/>
      <c r="V51" s="147"/>
      <c r="W51" s="220"/>
      <c r="AI51" s="185"/>
      <c r="AJ51" s="185"/>
      <c r="AK51" s="185"/>
      <c r="AL51" s="185"/>
      <c r="AM51" s="185"/>
      <c r="AN51" s="185"/>
      <c r="AO51" s="185"/>
      <c r="AP51" s="185"/>
      <c r="AQ51" s="185"/>
    </row>
    <row r="52" spans="1:43" s="148" customFormat="1" x14ac:dyDescent="0.2">
      <c r="A52" s="260" t="s">
        <v>98</v>
      </c>
      <c r="B52" s="193" t="s">
        <v>109</v>
      </c>
      <c r="C52" s="151" t="s">
        <v>31</v>
      </c>
      <c r="D52" s="151"/>
      <c r="E52" s="151">
        <v>1983</v>
      </c>
      <c r="F52" s="153">
        <v>2800</v>
      </c>
      <c r="G52" s="153">
        <v>25000</v>
      </c>
      <c r="H52" s="151" t="s">
        <v>24</v>
      </c>
      <c r="I52" s="151" t="s">
        <v>25</v>
      </c>
      <c r="J52" s="221">
        <v>40969</v>
      </c>
      <c r="K52" s="224">
        <v>42004</v>
      </c>
      <c r="L52" s="156">
        <v>260000</v>
      </c>
      <c r="M52" s="157" t="s">
        <v>26</v>
      </c>
      <c r="N52" s="156"/>
      <c r="O52" s="211">
        <v>0</v>
      </c>
      <c r="P52" s="147">
        <v>0</v>
      </c>
      <c r="Q52" s="147">
        <v>0</v>
      </c>
      <c r="R52" s="96">
        <v>0</v>
      </c>
      <c r="S52" s="147"/>
      <c r="T52" s="85">
        <v>24</v>
      </c>
      <c r="U52" s="147">
        <v>0</v>
      </c>
      <c r="V52" s="147">
        <v>0</v>
      </c>
      <c r="W52" s="220">
        <v>0</v>
      </c>
      <c r="AI52" s="185"/>
      <c r="AJ52" s="185"/>
      <c r="AK52" s="185"/>
      <c r="AL52" s="185"/>
      <c r="AM52" s="185"/>
      <c r="AN52" s="185"/>
      <c r="AO52" s="185"/>
      <c r="AP52" s="185"/>
      <c r="AQ52" s="185"/>
    </row>
    <row r="53" spans="1:43" s="148" customFormat="1" ht="14.25" customHeight="1" x14ac:dyDescent="0.2">
      <c r="A53" s="248" t="s">
        <v>101</v>
      </c>
      <c r="B53" s="193" t="s">
        <v>60</v>
      </c>
      <c r="C53" s="151" t="s">
        <v>31</v>
      </c>
      <c r="D53" s="151"/>
      <c r="E53" s="151">
        <v>1984</v>
      </c>
      <c r="F53" s="153">
        <v>1800</v>
      </c>
      <c r="G53" s="153">
        <v>25000</v>
      </c>
      <c r="H53" s="164" t="s">
        <v>15</v>
      </c>
      <c r="I53" s="218" t="s">
        <v>36</v>
      </c>
      <c r="J53" s="221">
        <v>41748</v>
      </c>
      <c r="K53" s="221">
        <v>41926</v>
      </c>
      <c r="L53" s="156">
        <v>411000</v>
      </c>
      <c r="M53" s="157">
        <v>336000</v>
      </c>
      <c r="N53" s="156"/>
      <c r="O53" s="211">
        <v>0</v>
      </c>
      <c r="P53" s="147">
        <v>0</v>
      </c>
      <c r="Q53" s="147">
        <v>0</v>
      </c>
      <c r="R53" s="96">
        <v>77</v>
      </c>
      <c r="S53" s="147"/>
      <c r="T53" s="85">
        <v>19</v>
      </c>
      <c r="U53" s="147">
        <v>0</v>
      </c>
      <c r="V53" s="147">
        <v>0</v>
      </c>
      <c r="W53" s="220">
        <v>0</v>
      </c>
      <c r="AI53" s="185"/>
      <c r="AJ53" s="185"/>
      <c r="AK53" s="185"/>
      <c r="AL53" s="185"/>
      <c r="AM53" s="185"/>
      <c r="AN53" s="185"/>
      <c r="AO53" s="185"/>
      <c r="AP53" s="185"/>
      <c r="AQ53" s="185"/>
    </row>
    <row r="54" spans="1:43" s="148" customFormat="1" x14ac:dyDescent="0.2">
      <c r="A54" s="261" t="s">
        <v>99</v>
      </c>
      <c r="B54" s="231"/>
      <c r="C54" s="229" t="s">
        <v>31</v>
      </c>
      <c r="D54" s="229"/>
      <c r="E54" s="229">
        <v>1982</v>
      </c>
      <c r="F54" s="87">
        <v>1500</v>
      </c>
      <c r="G54" s="87">
        <v>25000</v>
      </c>
      <c r="H54" s="229" t="s">
        <v>24</v>
      </c>
      <c r="I54" s="229" t="s">
        <v>25</v>
      </c>
      <c r="J54" s="234">
        <v>41061</v>
      </c>
      <c r="K54" s="234">
        <v>42248</v>
      </c>
      <c r="L54" s="230">
        <v>190000</v>
      </c>
      <c r="M54" s="231">
        <v>222000</v>
      </c>
      <c r="N54" s="156"/>
      <c r="O54" s="212">
        <v>0</v>
      </c>
      <c r="P54" s="155">
        <v>0</v>
      </c>
      <c r="Q54" s="246">
        <v>0</v>
      </c>
      <c r="R54" s="162">
        <v>0</v>
      </c>
      <c r="S54" s="147"/>
      <c r="T54" s="280">
        <v>21</v>
      </c>
      <c r="U54" s="155">
        <v>0</v>
      </c>
      <c r="V54" s="155">
        <v>11</v>
      </c>
      <c r="W54" s="162">
        <v>10</v>
      </c>
      <c r="AI54" s="185"/>
      <c r="AJ54" s="185"/>
      <c r="AK54" s="185"/>
      <c r="AL54" s="185"/>
      <c r="AM54" s="185"/>
      <c r="AN54" s="185"/>
      <c r="AO54" s="185"/>
      <c r="AP54" s="185"/>
      <c r="AQ54" s="185"/>
    </row>
    <row r="55" spans="1:43" ht="6" customHeight="1" x14ac:dyDescent="0.2">
      <c r="A55" s="148"/>
      <c r="B55" s="86"/>
      <c r="C55" s="148"/>
      <c r="D55" s="148"/>
      <c r="E55" s="148"/>
      <c r="F55" s="148"/>
      <c r="G55" s="148"/>
      <c r="H55" s="148"/>
      <c r="I55" s="148"/>
      <c r="J55" s="218"/>
      <c r="K55" s="218"/>
      <c r="L55" s="189"/>
      <c r="M55" s="189"/>
      <c r="N55" s="148"/>
      <c r="O55" s="304"/>
      <c r="P55" s="185"/>
      <c r="Q55" s="185"/>
      <c r="R55" s="304"/>
      <c r="S55" s="185"/>
      <c r="T55" s="308"/>
      <c r="U55" s="185"/>
      <c r="V55" s="185"/>
      <c r="W55" s="75"/>
      <c r="AI55" s="243"/>
      <c r="AJ55" s="243"/>
      <c r="AK55" s="243"/>
      <c r="AL55" s="243"/>
      <c r="AM55" s="243"/>
      <c r="AN55" s="243"/>
      <c r="AO55" s="243"/>
      <c r="AP55" s="243"/>
      <c r="AQ55" s="243"/>
    </row>
    <row r="56" spans="1:43" s="32" customFormat="1" ht="15.75" customHeight="1" x14ac:dyDescent="0.2">
      <c r="A56" s="172" t="s">
        <v>128</v>
      </c>
      <c r="B56" s="178"/>
      <c r="C56" s="174"/>
      <c r="D56" s="175"/>
      <c r="E56" s="176"/>
      <c r="F56" s="175"/>
      <c r="G56" s="175"/>
      <c r="H56" s="175"/>
      <c r="I56" s="175"/>
      <c r="J56" s="200"/>
      <c r="K56" s="200"/>
      <c r="L56" s="203"/>
      <c r="M56" s="204"/>
      <c r="N56" s="194"/>
      <c r="O56" s="209"/>
      <c r="P56" s="191"/>
      <c r="Q56" s="191"/>
      <c r="R56" s="190"/>
      <c r="S56" s="198"/>
      <c r="T56" s="307"/>
      <c r="U56" s="281"/>
      <c r="V56" s="281"/>
      <c r="W56" s="282"/>
      <c r="AI56" s="185"/>
      <c r="AJ56" s="185"/>
      <c r="AK56" s="185"/>
      <c r="AL56" s="185"/>
      <c r="AM56" s="185"/>
      <c r="AN56" s="185"/>
      <c r="AO56" s="185"/>
      <c r="AP56" s="185"/>
      <c r="AQ56" s="185"/>
    </row>
    <row r="57" spans="1:43" s="32" customFormat="1" ht="6" customHeight="1" x14ac:dyDescent="0.2">
      <c r="A57" s="165"/>
      <c r="B57" s="171"/>
      <c r="C57" s="166"/>
      <c r="D57" s="166"/>
      <c r="E57" s="167"/>
      <c r="F57" s="168"/>
      <c r="G57" s="168"/>
      <c r="H57" s="164"/>
      <c r="I57" s="221"/>
      <c r="J57" s="221"/>
      <c r="K57" s="221"/>
      <c r="L57" s="169"/>
      <c r="M57" s="192"/>
      <c r="N57" s="169"/>
      <c r="O57" s="210"/>
      <c r="P57" s="154"/>
      <c r="Q57" s="154"/>
      <c r="R57" s="163"/>
      <c r="S57" s="154"/>
      <c r="T57" s="210"/>
      <c r="U57" s="154"/>
      <c r="V57" s="154"/>
      <c r="W57" s="163"/>
      <c r="AI57" s="185"/>
      <c r="AJ57" s="185"/>
      <c r="AK57" s="185"/>
      <c r="AL57" s="185"/>
      <c r="AM57" s="185"/>
      <c r="AN57" s="185"/>
      <c r="AO57" s="185"/>
      <c r="AP57" s="185"/>
      <c r="AQ57" s="185"/>
    </row>
    <row r="58" spans="1:43" s="148" customFormat="1" x14ac:dyDescent="0.2">
      <c r="A58" s="251" t="s">
        <v>127</v>
      </c>
      <c r="B58" s="233">
        <v>-7</v>
      </c>
      <c r="C58" s="170"/>
      <c r="D58" s="170"/>
      <c r="E58" s="288">
        <v>1999</v>
      </c>
      <c r="F58" s="289">
        <v>400</v>
      </c>
      <c r="G58" s="289">
        <v>30000</v>
      </c>
      <c r="H58" s="335" t="s">
        <v>15</v>
      </c>
      <c r="I58" s="234" t="s">
        <v>129</v>
      </c>
      <c r="J58" s="290">
        <v>41850</v>
      </c>
      <c r="K58" s="290">
        <v>41876</v>
      </c>
      <c r="L58" s="236">
        <v>160000</v>
      </c>
      <c r="M58" s="231">
        <v>180000</v>
      </c>
      <c r="N58" s="156"/>
      <c r="O58" s="212">
        <v>0</v>
      </c>
      <c r="P58" s="155">
        <v>0</v>
      </c>
      <c r="Q58" s="155">
        <v>30</v>
      </c>
      <c r="R58" s="162">
        <v>0</v>
      </c>
      <c r="S58" s="147"/>
      <c r="T58" s="280">
        <v>4</v>
      </c>
      <c r="U58" s="246">
        <v>91</v>
      </c>
      <c r="V58" s="246">
        <v>5</v>
      </c>
      <c r="W58" s="162">
        <v>0</v>
      </c>
      <c r="AI58" s="185"/>
      <c r="AJ58" s="185"/>
      <c r="AK58" s="185"/>
      <c r="AL58" s="185"/>
      <c r="AM58" s="185"/>
      <c r="AN58" s="185"/>
      <c r="AO58" s="185"/>
      <c r="AP58" s="185"/>
      <c r="AQ58" s="185"/>
    </row>
    <row r="59" spans="1:43" s="148" customFormat="1" ht="5.25" customHeight="1" x14ac:dyDescent="0.2">
      <c r="A59" s="326"/>
      <c r="B59" s="156"/>
      <c r="C59" s="166"/>
      <c r="D59" s="166"/>
      <c r="E59" s="167"/>
      <c r="F59" s="168"/>
      <c r="G59" s="168"/>
      <c r="H59" s="164"/>
      <c r="I59" s="221"/>
      <c r="J59" s="224"/>
      <c r="K59" s="224"/>
      <c r="L59" s="223"/>
      <c r="M59" s="223"/>
      <c r="N59" s="156"/>
      <c r="O59" s="147"/>
      <c r="P59" s="147"/>
      <c r="Q59" s="147"/>
      <c r="R59" s="147"/>
      <c r="S59" s="147"/>
      <c r="T59" s="33"/>
      <c r="U59" s="33"/>
      <c r="V59" s="33"/>
      <c r="W59" s="147"/>
      <c r="AI59" s="185"/>
      <c r="AJ59" s="185"/>
      <c r="AK59" s="185"/>
      <c r="AL59" s="185"/>
      <c r="AM59" s="185"/>
      <c r="AN59" s="185"/>
      <c r="AO59" s="185"/>
      <c r="AP59" s="185"/>
      <c r="AQ59" s="185"/>
    </row>
    <row r="60" spans="1:43" s="32" customFormat="1" ht="15" x14ac:dyDescent="0.2">
      <c r="A60" s="177" t="s">
        <v>111</v>
      </c>
      <c r="B60" s="179"/>
      <c r="C60" s="174"/>
      <c r="D60" s="180"/>
      <c r="E60" s="181"/>
      <c r="F60" s="180"/>
      <c r="G60" s="180"/>
      <c r="H60" s="182"/>
      <c r="I60" s="180"/>
      <c r="J60" s="202"/>
      <c r="K60" s="202"/>
      <c r="L60" s="207"/>
      <c r="M60" s="208"/>
      <c r="N60" s="196"/>
      <c r="O60" s="240"/>
      <c r="P60" s="240"/>
      <c r="Q60" s="240"/>
      <c r="R60" s="240"/>
      <c r="S60" s="197"/>
      <c r="T60" s="240"/>
      <c r="U60" s="240"/>
      <c r="V60" s="240"/>
      <c r="W60" s="240"/>
    </row>
    <row r="61" spans="1:43" s="32" customFormat="1" ht="6" customHeight="1" x14ac:dyDescent="0.2">
      <c r="A61" s="296"/>
      <c r="B61" s="93"/>
      <c r="C61" s="94"/>
      <c r="D61" s="161"/>
      <c r="E61" s="144"/>
      <c r="F61" s="153"/>
      <c r="G61" s="145"/>
      <c r="H61" s="151"/>
      <c r="I61" s="151"/>
      <c r="J61" s="221"/>
      <c r="K61" s="221"/>
      <c r="L61" s="156"/>
      <c r="M61" s="98"/>
      <c r="N61" s="156"/>
      <c r="O61" s="183"/>
      <c r="P61" s="183"/>
      <c r="Q61" s="183"/>
      <c r="R61" s="183"/>
      <c r="S61" s="183"/>
      <c r="T61" s="183"/>
      <c r="U61" s="183"/>
      <c r="V61" s="183"/>
      <c r="W61" s="183"/>
    </row>
    <row r="62" spans="1:43" s="97" customFormat="1" ht="12.75" customHeight="1" x14ac:dyDescent="0.2">
      <c r="A62" s="172" t="s">
        <v>147</v>
      </c>
      <c r="B62" s="178"/>
      <c r="C62" s="174"/>
      <c r="D62" s="175"/>
      <c r="E62" s="176"/>
      <c r="F62" s="175"/>
      <c r="G62" s="175"/>
      <c r="H62" s="175"/>
      <c r="I62" s="175"/>
      <c r="J62" s="200"/>
      <c r="K62" s="200"/>
      <c r="L62" s="213"/>
      <c r="M62" s="118"/>
      <c r="N62" s="194"/>
      <c r="O62" s="198"/>
      <c r="P62" s="198"/>
      <c r="Q62" s="198"/>
      <c r="R62" s="198"/>
      <c r="S62" s="198"/>
      <c r="T62" s="198"/>
      <c r="U62" s="198"/>
      <c r="V62" s="198"/>
      <c r="W62" s="198"/>
    </row>
    <row r="63" spans="1:43" s="32" customFormat="1" ht="4.5" customHeight="1" x14ac:dyDescent="0.2">
      <c r="A63" s="112"/>
      <c r="B63" s="113"/>
      <c r="C63" s="114"/>
      <c r="D63" s="115"/>
      <c r="E63" s="116"/>
      <c r="F63" s="115"/>
      <c r="G63" s="115"/>
      <c r="H63" s="115"/>
      <c r="I63" s="115"/>
      <c r="J63" s="117"/>
      <c r="K63" s="117"/>
      <c r="L63" s="119"/>
      <c r="M63" s="120"/>
      <c r="N63" s="194"/>
      <c r="O63" s="198"/>
      <c r="P63" s="198"/>
      <c r="Q63" s="198"/>
      <c r="R63" s="198"/>
      <c r="S63" s="198"/>
      <c r="T63" s="198"/>
      <c r="U63" s="198"/>
      <c r="V63" s="198"/>
      <c r="W63" s="198"/>
    </row>
    <row r="64" spans="1:43" s="148" customFormat="1" ht="12.75" customHeight="1" x14ac:dyDescent="0.2">
      <c r="A64" s="72" t="s">
        <v>51</v>
      </c>
      <c r="B64" s="325"/>
      <c r="C64" s="151" t="s">
        <v>31</v>
      </c>
      <c r="D64" s="151"/>
      <c r="E64" s="151" t="s">
        <v>44</v>
      </c>
      <c r="F64" s="153">
        <v>5750</v>
      </c>
      <c r="G64" s="153">
        <v>25000</v>
      </c>
      <c r="H64" s="237" t="s">
        <v>23</v>
      </c>
      <c r="I64" s="224" t="s">
        <v>123</v>
      </c>
      <c r="J64" s="224">
        <v>42004</v>
      </c>
      <c r="K64" s="224">
        <v>42051</v>
      </c>
      <c r="L64" s="292">
        <v>338000</v>
      </c>
      <c r="M64" s="293">
        <v>338000</v>
      </c>
      <c r="N64" s="99"/>
    </row>
    <row r="65" spans="1:23" s="32" customFormat="1" ht="3" customHeight="1" x14ac:dyDescent="0.2">
      <c r="A65" s="83"/>
      <c r="B65" s="338"/>
      <c r="C65" s="144"/>
      <c r="D65" s="161"/>
      <c r="E65" s="144"/>
      <c r="F65" s="153"/>
      <c r="G65" s="145"/>
      <c r="H65" s="151"/>
      <c r="I65" s="151"/>
      <c r="J65" s="221"/>
      <c r="K65" s="221"/>
      <c r="L65" s="156"/>
      <c r="M65" s="157"/>
      <c r="N65" s="156"/>
      <c r="O65" s="183"/>
      <c r="P65" s="183"/>
      <c r="Q65" s="183"/>
      <c r="R65" s="183"/>
      <c r="S65" s="183"/>
      <c r="T65" s="183"/>
      <c r="U65" s="183"/>
      <c r="V65" s="183"/>
      <c r="W65" s="183"/>
    </row>
    <row r="66" spans="1:23" s="32" customFormat="1" ht="6" customHeight="1" x14ac:dyDescent="0.2">
      <c r="A66" s="83"/>
      <c r="B66" s="160"/>
      <c r="C66" s="144"/>
      <c r="D66" s="161"/>
      <c r="E66" s="144"/>
      <c r="F66" s="153"/>
      <c r="G66" s="145"/>
      <c r="H66" s="151"/>
      <c r="I66" s="151"/>
      <c r="J66" s="221"/>
      <c r="K66" s="221"/>
      <c r="L66" s="156"/>
      <c r="M66" s="157"/>
      <c r="N66" s="156"/>
      <c r="O66" s="154"/>
      <c r="P66" s="154"/>
      <c r="Q66" s="154"/>
      <c r="R66" s="154"/>
      <c r="S66" s="154"/>
      <c r="T66" s="154"/>
      <c r="U66" s="154"/>
      <c r="V66" s="154"/>
      <c r="W66" s="154"/>
    </row>
    <row r="67" spans="1:23" s="143" customFormat="1" x14ac:dyDescent="0.2">
      <c r="A67" s="260" t="s">
        <v>27</v>
      </c>
      <c r="B67" s="171">
        <v>-7</v>
      </c>
      <c r="C67" s="151" t="s">
        <v>31</v>
      </c>
      <c r="D67" s="151"/>
      <c r="E67" s="151" t="s">
        <v>28</v>
      </c>
      <c r="F67" s="153">
        <v>5400</v>
      </c>
      <c r="G67" s="153">
        <v>30000</v>
      </c>
      <c r="H67" s="238" t="s">
        <v>22</v>
      </c>
      <c r="I67" s="238" t="s">
        <v>126</v>
      </c>
      <c r="J67" s="224">
        <v>42052</v>
      </c>
      <c r="K67" s="224">
        <v>42417</v>
      </c>
      <c r="L67" s="223">
        <v>420000</v>
      </c>
      <c r="M67" s="328">
        <v>420000</v>
      </c>
      <c r="N67" s="156"/>
      <c r="O67" s="154"/>
      <c r="P67" s="154"/>
      <c r="Q67" s="154"/>
      <c r="R67" s="154"/>
      <c r="S67" s="154"/>
      <c r="T67" s="154"/>
      <c r="U67" s="154"/>
      <c r="V67" s="154"/>
      <c r="W67" s="154"/>
    </row>
    <row r="68" spans="1:23" x14ac:dyDescent="0.2">
      <c r="A68" s="297"/>
      <c r="B68" s="333"/>
      <c r="C68" s="298"/>
      <c r="D68" s="298"/>
      <c r="E68" s="298"/>
      <c r="F68" s="298"/>
      <c r="G68" s="298"/>
      <c r="H68" s="294" t="s">
        <v>22</v>
      </c>
      <c r="I68" s="294" t="s">
        <v>126</v>
      </c>
      <c r="J68" s="311">
        <f>K67</f>
        <v>42417</v>
      </c>
      <c r="K68" s="290">
        <v>42563</v>
      </c>
      <c r="L68" s="236">
        <v>420000</v>
      </c>
      <c r="M68" s="291">
        <v>420000</v>
      </c>
    </row>
    <row r="69" spans="1:23" x14ac:dyDescent="0.2">
      <c r="B69" s="334"/>
      <c r="K69" s="42"/>
    </row>
    <row r="70" spans="1:23" x14ac:dyDescent="0.2">
      <c r="K70" s="42"/>
    </row>
    <row r="71" spans="1:23" x14ac:dyDescent="0.2">
      <c r="K71" s="42"/>
    </row>
    <row r="72" spans="1:23" x14ac:dyDescent="0.2">
      <c r="K72" s="42"/>
    </row>
    <row r="73" spans="1:23" x14ac:dyDescent="0.2">
      <c r="K73" s="42"/>
    </row>
    <row r="74" spans="1:23" x14ac:dyDescent="0.2">
      <c r="K74" s="42"/>
    </row>
    <row r="75" spans="1:23" x14ac:dyDescent="0.2">
      <c r="K75" s="42"/>
    </row>
    <row r="76" spans="1:23" x14ac:dyDescent="0.2">
      <c r="K76" s="42"/>
    </row>
  </sheetData>
  <autoFilter ref="A8:J8"/>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1"/>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2"/>
      <headerFooter alignWithMargins="0">
        <oddFooter>&amp;RPage &amp;P</oddFooter>
      </headerFooter>
    </customSheetView>
  </customSheetViews>
  <mergeCells count="7">
    <mergeCell ref="C12:M14"/>
    <mergeCell ref="A3:M3"/>
    <mergeCell ref="A4:M4"/>
    <mergeCell ref="T5:W5"/>
    <mergeCell ref="T7:W7"/>
    <mergeCell ref="O5:R5"/>
    <mergeCell ref="O7:R7"/>
  </mergeCells>
  <phoneticPr fontId="0" type="noConversion"/>
  <printOptions horizontalCentered="1"/>
  <pageMargins left="0.7" right="0.7" top="0.75" bottom="0.75" header="0.3" footer="0.3"/>
  <pageSetup paperSize="3" scale="60" fitToHeight="3" orientation="landscape" r:id="rId3"/>
  <headerFooter alignWithMargins="0"/>
  <ignoredErrors>
    <ignoredError sqref="B51:B53 B27"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8"/>
  <sheetViews>
    <sheetView showGridLines="0" view="pageBreakPreview" topLeftCell="B1" zoomScaleNormal="100" zoomScaleSheetLayoutView="100" workbookViewId="0">
      <selection activeCell="D1" sqref="D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1.42578125" customWidth="1"/>
    <col min="15" max="15" width="41.7109375" style="26" customWidth="1"/>
    <col min="18" max="18" width="9.42578125" customWidth="1"/>
  </cols>
  <sheetData>
    <row r="1" spans="1:15" s="6" customFormat="1" ht="41.25" customHeight="1" x14ac:dyDescent="0.2">
      <c r="B1" s="27"/>
      <c r="C1" s="7"/>
      <c r="E1" s="8"/>
      <c r="F1" s="9"/>
      <c r="G1" s="9"/>
      <c r="K1" s="36"/>
      <c r="M1" s="7"/>
      <c r="O1" s="25"/>
    </row>
    <row r="2" spans="1:15" s="6" customFormat="1" ht="13.5" customHeight="1" x14ac:dyDescent="0.2">
      <c r="B2" s="30" t="str">
        <f>Report!A2</f>
        <v>Updated: August 21,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55" t="s">
        <v>45</v>
      </c>
      <c r="C5" s="355"/>
      <c r="D5" s="14"/>
      <c r="E5" s="15"/>
      <c r="F5" s="16"/>
      <c r="G5" s="12"/>
      <c r="H5" s="12"/>
      <c r="I5" s="13"/>
      <c r="J5" s="17"/>
      <c r="K5" s="18"/>
      <c r="L5" s="18"/>
      <c r="M5" s="19"/>
      <c r="N5" s="20"/>
    </row>
    <row r="6" spans="1:15" x14ac:dyDescent="0.2">
      <c r="A6" s="21" t="s">
        <v>108</v>
      </c>
      <c r="C6" s="2"/>
      <c r="D6" s="1"/>
      <c r="E6" s="2"/>
      <c r="F6" s="1"/>
      <c r="G6" s="3"/>
      <c r="H6" s="3"/>
      <c r="I6" s="2"/>
      <c r="J6" s="2"/>
      <c r="K6" s="2"/>
      <c r="L6" s="2"/>
      <c r="M6" s="11"/>
      <c r="N6" s="2"/>
    </row>
    <row r="7" spans="1:15" s="34" customFormat="1" x14ac:dyDescent="0.2">
      <c r="A7" s="29" t="s">
        <v>54</v>
      </c>
      <c r="B7" s="95" t="s">
        <v>54</v>
      </c>
      <c r="C7" s="356" t="s">
        <v>53</v>
      </c>
      <c r="D7" s="357"/>
      <c r="E7" s="357"/>
      <c r="F7" s="357"/>
      <c r="G7" s="357"/>
      <c r="H7" s="357"/>
      <c r="I7" s="357"/>
      <c r="J7" s="357"/>
      <c r="K7" s="357"/>
      <c r="L7" s="357"/>
      <c r="M7" s="357"/>
      <c r="N7" s="357"/>
      <c r="O7" s="26"/>
    </row>
    <row r="8" spans="1:15" s="34" customFormat="1" ht="62.25" customHeight="1" x14ac:dyDescent="0.2">
      <c r="A8" s="29" t="s">
        <v>55</v>
      </c>
      <c r="B8" s="95" t="s">
        <v>55</v>
      </c>
      <c r="C8" s="356" t="s">
        <v>142</v>
      </c>
      <c r="D8" s="358"/>
      <c r="E8" s="358"/>
      <c r="F8" s="358"/>
      <c r="G8" s="358"/>
      <c r="H8" s="358"/>
      <c r="I8" s="358"/>
      <c r="J8" s="358"/>
      <c r="K8" s="358"/>
      <c r="L8" s="358"/>
      <c r="M8" s="358"/>
      <c r="N8" s="358"/>
      <c r="O8" s="26"/>
    </row>
    <row r="9" spans="1:15" s="34" customFormat="1" ht="51" customHeight="1" x14ac:dyDescent="0.2">
      <c r="A9" s="29" t="s">
        <v>56</v>
      </c>
      <c r="B9" s="95" t="s">
        <v>56</v>
      </c>
      <c r="C9" s="356" t="s">
        <v>65</v>
      </c>
      <c r="D9" s="357"/>
      <c r="E9" s="357"/>
      <c r="F9" s="357"/>
      <c r="G9" s="357"/>
      <c r="H9" s="357"/>
      <c r="I9" s="357"/>
      <c r="J9" s="357"/>
      <c r="K9" s="357"/>
      <c r="L9" s="357"/>
      <c r="M9" s="357"/>
      <c r="N9" s="357"/>
      <c r="O9" s="26"/>
    </row>
    <row r="10" spans="1:15" s="34" customFormat="1" ht="27" customHeight="1" x14ac:dyDescent="0.2">
      <c r="A10" s="29" t="s">
        <v>57</v>
      </c>
      <c r="B10" s="95" t="s">
        <v>57</v>
      </c>
      <c r="C10" s="356" t="s">
        <v>73</v>
      </c>
      <c r="D10" s="357"/>
      <c r="E10" s="357"/>
      <c r="F10" s="357"/>
      <c r="G10" s="357"/>
      <c r="H10" s="357"/>
      <c r="I10" s="357"/>
      <c r="J10" s="357"/>
      <c r="K10" s="357"/>
      <c r="L10" s="357"/>
      <c r="M10" s="357"/>
      <c r="N10" s="357"/>
      <c r="O10" s="26"/>
    </row>
    <row r="11" spans="1:15" s="34" customFormat="1" x14ac:dyDescent="0.2">
      <c r="A11" s="29" t="s">
        <v>58</v>
      </c>
      <c r="B11" s="95" t="s">
        <v>58</v>
      </c>
      <c r="C11" s="356" t="s">
        <v>67</v>
      </c>
      <c r="D11" s="357"/>
      <c r="E11" s="357"/>
      <c r="F11" s="357"/>
      <c r="G11" s="357"/>
      <c r="H11" s="357"/>
      <c r="I11" s="357"/>
      <c r="J11" s="357"/>
      <c r="K11" s="357"/>
      <c r="L11" s="357"/>
      <c r="M11" s="357"/>
      <c r="N11" s="357"/>
      <c r="O11" s="26"/>
    </row>
    <row r="12" spans="1:15" s="21" customFormat="1" ht="14.25" customHeight="1" x14ac:dyDescent="0.2">
      <c r="A12" s="29" t="s">
        <v>59</v>
      </c>
      <c r="B12" s="95" t="s">
        <v>59</v>
      </c>
      <c r="C12" s="356" t="s">
        <v>69</v>
      </c>
      <c r="D12" s="357"/>
      <c r="E12" s="357"/>
      <c r="F12" s="357"/>
      <c r="G12" s="357"/>
      <c r="H12" s="357"/>
      <c r="I12" s="357"/>
      <c r="J12" s="357"/>
      <c r="K12" s="357"/>
      <c r="L12" s="357"/>
      <c r="M12" s="357"/>
      <c r="N12" s="357"/>
      <c r="O12" s="26"/>
    </row>
    <row r="13" spans="1:15" s="34" customFormat="1" ht="14.25" customHeight="1" x14ac:dyDescent="0.2">
      <c r="A13" s="29" t="s">
        <v>60</v>
      </c>
      <c r="B13" s="95" t="s">
        <v>60</v>
      </c>
      <c r="C13" s="356" t="s">
        <v>4</v>
      </c>
      <c r="D13" s="357"/>
      <c r="E13" s="357"/>
      <c r="F13" s="357"/>
      <c r="G13" s="357"/>
      <c r="H13" s="357"/>
      <c r="I13" s="357"/>
      <c r="J13" s="357"/>
      <c r="K13" s="357"/>
      <c r="L13" s="357"/>
      <c r="M13" s="357"/>
      <c r="N13" s="357"/>
      <c r="O13" s="26"/>
    </row>
    <row r="14" spans="1:15" s="34" customFormat="1" ht="15" customHeight="1" x14ac:dyDescent="0.2">
      <c r="A14" s="29" t="s">
        <v>61</v>
      </c>
      <c r="B14" s="95" t="s">
        <v>61</v>
      </c>
      <c r="C14" s="356" t="s">
        <v>3</v>
      </c>
      <c r="D14" s="357"/>
      <c r="E14" s="357"/>
      <c r="F14" s="357"/>
      <c r="G14" s="357"/>
      <c r="H14" s="357"/>
      <c r="I14" s="357"/>
      <c r="J14" s="357"/>
      <c r="K14" s="357"/>
      <c r="L14" s="357"/>
      <c r="M14" s="357"/>
      <c r="N14" s="357"/>
      <c r="O14" s="26"/>
    </row>
    <row r="15" spans="1:15" s="34" customFormat="1" ht="28.5" customHeight="1" x14ac:dyDescent="0.2">
      <c r="A15" s="29" t="s">
        <v>62</v>
      </c>
      <c r="B15" s="95" t="s">
        <v>62</v>
      </c>
      <c r="C15" s="360" t="s">
        <v>121</v>
      </c>
      <c r="D15" s="360"/>
      <c r="E15" s="360"/>
      <c r="F15" s="360"/>
      <c r="G15" s="360"/>
      <c r="H15" s="360"/>
      <c r="I15" s="360"/>
      <c r="J15" s="360"/>
      <c r="K15" s="360"/>
      <c r="L15" s="360"/>
      <c r="M15" s="360"/>
      <c r="N15" s="360"/>
      <c r="O15" s="26"/>
    </row>
    <row r="16" spans="1:15" s="34" customFormat="1" ht="29.1" customHeight="1" x14ac:dyDescent="0.2">
      <c r="A16" s="29" t="s">
        <v>63</v>
      </c>
      <c r="B16" s="95" t="s">
        <v>63</v>
      </c>
      <c r="C16" s="356" t="s">
        <v>5</v>
      </c>
      <c r="D16" s="357"/>
      <c r="E16" s="357"/>
      <c r="F16" s="357"/>
      <c r="G16" s="357"/>
      <c r="H16" s="357"/>
      <c r="I16" s="357"/>
      <c r="J16" s="357"/>
      <c r="K16" s="357"/>
      <c r="L16" s="357"/>
      <c r="M16" s="357"/>
      <c r="N16" s="357"/>
      <c r="O16" s="26"/>
    </row>
    <row r="17" spans="1:19" s="34" customFormat="1" ht="27.75" customHeight="1" x14ac:dyDescent="0.2">
      <c r="A17" s="29" t="s">
        <v>66</v>
      </c>
      <c r="B17" s="310" t="s">
        <v>64</v>
      </c>
      <c r="C17" s="356" t="s">
        <v>68</v>
      </c>
      <c r="D17" s="356"/>
      <c r="E17" s="356"/>
      <c r="F17" s="356"/>
      <c r="G17" s="356"/>
      <c r="H17" s="356"/>
      <c r="I17" s="356"/>
      <c r="J17" s="356"/>
      <c r="K17" s="356"/>
      <c r="L17" s="356"/>
      <c r="M17" s="356"/>
      <c r="N17" s="356"/>
      <c r="O17" s="121"/>
    </row>
    <row r="18" spans="1:19" ht="26.25" customHeight="1" x14ac:dyDescent="0.2">
      <c r="A18" s="28" t="s">
        <v>1</v>
      </c>
      <c r="B18" s="310" t="s">
        <v>7</v>
      </c>
      <c r="C18" s="359" t="s">
        <v>70</v>
      </c>
      <c r="D18" s="359"/>
      <c r="E18" s="359"/>
      <c r="F18" s="359"/>
      <c r="G18" s="359"/>
      <c r="H18" s="359"/>
      <c r="I18" s="359"/>
      <c r="J18" s="359"/>
      <c r="K18" s="359"/>
      <c r="L18" s="359"/>
      <c r="M18" s="359"/>
      <c r="N18" s="359"/>
      <c r="O18" s="121"/>
    </row>
    <row r="19" spans="1:19" ht="26.25" customHeight="1" x14ac:dyDescent="0.2">
      <c r="B19" s="310" t="s">
        <v>2</v>
      </c>
      <c r="C19" s="354" t="s">
        <v>114</v>
      </c>
      <c r="D19" s="354"/>
      <c r="E19" s="354"/>
      <c r="F19" s="354"/>
      <c r="G19" s="354"/>
      <c r="H19" s="354"/>
      <c r="I19" s="354"/>
      <c r="J19" s="354"/>
      <c r="K19" s="354"/>
      <c r="L19" s="354"/>
      <c r="M19" s="354"/>
      <c r="N19" s="354"/>
      <c r="S19" s="24"/>
    </row>
    <row r="20" spans="1:19" s="24" customFormat="1" ht="12.75" x14ac:dyDescent="0.2">
      <c r="B20" s="327" t="s">
        <v>6</v>
      </c>
      <c r="C20" s="332" t="s">
        <v>143</v>
      </c>
      <c r="O20" s="25"/>
    </row>
    <row r="21" spans="1:19" ht="16.5" customHeight="1" x14ac:dyDescent="0.2">
      <c r="B21" s="327" t="s">
        <v>66</v>
      </c>
      <c r="C21" s="352" t="s">
        <v>141</v>
      </c>
      <c r="D21" s="352"/>
      <c r="E21" s="352"/>
      <c r="F21" s="352"/>
      <c r="G21" s="352"/>
      <c r="H21" s="352"/>
      <c r="I21" s="352"/>
      <c r="J21" s="352"/>
      <c r="K21" s="352"/>
      <c r="L21" s="352"/>
      <c r="M21" s="352"/>
      <c r="N21" s="352"/>
      <c r="S21" s="24"/>
    </row>
    <row r="22" spans="1:19" ht="28.5" customHeight="1" x14ac:dyDescent="0.2">
      <c r="B22" s="327" t="s">
        <v>148</v>
      </c>
      <c r="C22" s="352" t="s">
        <v>150</v>
      </c>
      <c r="D22" s="353"/>
      <c r="E22" s="353"/>
      <c r="F22" s="353"/>
      <c r="G22" s="353"/>
      <c r="H22" s="353"/>
      <c r="I22" s="353"/>
      <c r="J22" s="353"/>
      <c r="K22" s="353"/>
      <c r="L22" s="353"/>
      <c r="M22" s="353"/>
      <c r="N22" s="353"/>
      <c r="S22" s="24"/>
    </row>
    <row r="23" spans="1:19" x14ac:dyDescent="0.2">
      <c r="S23" s="24"/>
    </row>
    <row r="24" spans="1:19" x14ac:dyDescent="0.2">
      <c r="S24" s="24"/>
    </row>
    <row r="25" spans="1:19" x14ac:dyDescent="0.2">
      <c r="S25" s="24"/>
    </row>
    <row r="26" spans="1:19" x14ac:dyDescent="0.2">
      <c r="S26" s="24"/>
    </row>
    <row r="27" spans="1:19" x14ac:dyDescent="0.2">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row r="67" spans="19:19" x14ac:dyDescent="0.2">
      <c r="S67" s="24"/>
    </row>
    <row r="68" spans="19:19" x14ac:dyDescent="0.2">
      <c r="S68"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6">
    <mergeCell ref="C22:N22"/>
    <mergeCell ref="C21:N21"/>
    <mergeCell ref="C19:N19"/>
    <mergeCell ref="B5:C5"/>
    <mergeCell ref="C9:N9"/>
    <mergeCell ref="C7:N7"/>
    <mergeCell ref="C8:N8"/>
    <mergeCell ref="C10:N10"/>
    <mergeCell ref="C16:N16"/>
    <mergeCell ref="C18:N18"/>
    <mergeCell ref="C17:N17"/>
    <mergeCell ref="C11:N11"/>
    <mergeCell ref="C12:N12"/>
    <mergeCell ref="C13:N13"/>
    <mergeCell ref="C14:N14"/>
    <mergeCell ref="C15:N15"/>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ignoredErrors>
    <ignoredError sqref="B20:B22" numberStoredAsText="1"/>
  </ignoredError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election activeCell="F38" sqref="F38"/>
    </sheetView>
  </sheetViews>
  <sheetFormatPr defaultRowHeight="15" x14ac:dyDescent="0.2"/>
  <cols>
    <col min="1" max="1" width="28.5703125" style="65" customWidth="1"/>
    <col min="2" max="3" width="2.28515625" style="65" customWidth="1"/>
    <col min="4" max="5" width="10.7109375" style="65" customWidth="1"/>
    <col min="6" max="6" width="8.7109375" style="65" customWidth="1"/>
    <col min="7" max="11" width="17.140625" style="65" customWidth="1"/>
    <col min="12" max="12" width="15.85546875" style="65" customWidth="1"/>
    <col min="13" max="16384" width="9.140625" style="65"/>
  </cols>
  <sheetData>
    <row r="1" spans="1:12" s="66" customFormat="1" ht="42.75" customHeight="1" x14ac:dyDescent="0.2">
      <c r="A1" s="65" t="s">
        <v>29</v>
      </c>
      <c r="B1" s="65"/>
      <c r="D1" s="67"/>
      <c r="E1" s="65"/>
      <c r="F1" s="65"/>
      <c r="G1" s="65"/>
      <c r="I1" s="68"/>
      <c r="J1" s="65"/>
      <c r="K1" s="65"/>
      <c r="L1" s="65"/>
    </row>
    <row r="2" spans="1:12" s="66" customFormat="1" ht="40.5" customHeight="1" x14ac:dyDescent="0.2">
      <c r="A2" s="65"/>
      <c r="B2" s="65"/>
      <c r="D2" s="67"/>
      <c r="E2" s="65"/>
      <c r="F2" s="65"/>
      <c r="G2" s="65"/>
      <c r="I2" s="68"/>
      <c r="J2" s="65"/>
      <c r="K2" s="65"/>
      <c r="L2" s="65"/>
    </row>
    <row r="3" spans="1:12" s="69" customFormat="1" ht="27.75" customHeight="1" x14ac:dyDescent="0.25">
      <c r="A3" s="361" t="s">
        <v>46</v>
      </c>
      <c r="B3" s="361"/>
      <c r="C3" s="361"/>
      <c r="D3" s="361"/>
      <c r="E3" s="361"/>
      <c r="F3" s="361"/>
      <c r="G3" s="361"/>
      <c r="H3" s="361"/>
      <c r="I3" s="361"/>
      <c r="J3" s="361"/>
      <c r="K3" s="361"/>
      <c r="L3" s="361"/>
    </row>
    <row r="4" spans="1:12" s="66" customFormat="1" x14ac:dyDescent="0.2">
      <c r="A4" s="65"/>
      <c r="B4" s="65"/>
      <c r="C4" s="70"/>
      <c r="D4" s="65"/>
      <c r="E4" s="65"/>
      <c r="F4" s="65"/>
      <c r="G4" s="65"/>
      <c r="H4" s="65"/>
      <c r="I4" s="65"/>
      <c r="J4" s="65"/>
      <c r="K4" s="65"/>
      <c r="L4" s="65"/>
    </row>
    <row r="5" spans="1:12" s="66" customFormat="1" x14ac:dyDescent="0.2">
      <c r="A5" s="71"/>
      <c r="B5" s="71"/>
      <c r="C5" s="71"/>
      <c r="D5" s="71"/>
      <c r="E5" s="71"/>
      <c r="F5" s="71"/>
      <c r="G5" s="71"/>
      <c r="H5" s="71"/>
      <c r="I5" s="71"/>
      <c r="J5" s="71"/>
      <c r="K5" s="71"/>
      <c r="L5" s="71"/>
    </row>
    <row r="6" spans="1:12" s="66" customFormat="1" x14ac:dyDescent="0.2">
      <c r="A6" s="65"/>
      <c r="B6" s="65"/>
      <c r="C6" s="65"/>
      <c r="D6" s="65"/>
      <c r="E6" s="65"/>
      <c r="F6" s="65"/>
      <c r="G6" s="65"/>
      <c r="H6" s="65"/>
      <c r="I6" s="65"/>
      <c r="J6" s="65"/>
      <c r="K6" s="65"/>
      <c r="L6" s="65"/>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Krystal Lazenby</cp:lastModifiedBy>
  <cp:lastPrinted>2014-08-21T19:55:15Z</cp:lastPrinted>
  <dcterms:created xsi:type="dcterms:W3CDTF">1999-09-27T19:46:10Z</dcterms:created>
  <dcterms:modified xsi:type="dcterms:W3CDTF">2014-08-21T20:08:34Z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