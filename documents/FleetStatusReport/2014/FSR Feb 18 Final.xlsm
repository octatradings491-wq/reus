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315" yWindow="1020" windowWidth="18150" windowHeight="7860" tabRatio="491" activeTab="1"/>
  </bookViews>
  <sheets>
    <sheet name="Cover" sheetId="8" r:id="rId1"/>
    <sheet name="Report" sheetId="1" r:id="rId2"/>
    <sheet name="Footnotes" sheetId="2" r:id="rId3"/>
    <sheet name="Stacked&amp;Idle" sheetId="10" state="hidden" r:id="rId4"/>
    <sheet name="Disclaimers&amp;Definitions " sheetId="9" r:id="rId5"/>
  </sheets>
  <definedNames>
    <definedName name="_xlnm._FilterDatabase" localSheetId="1" hidden="1">Report!$A$9:$J$9</definedName>
    <definedName name="_xlnm.Print_Area" localSheetId="0">Cover!$A$1:$X$17</definedName>
    <definedName name="_xlnm.Print_Area" localSheetId="4">'Disclaimers&amp;Definitions '!$A$1:$L$70</definedName>
    <definedName name="_xlnm.Print_Area" localSheetId="2">Footnotes!$B$1:$N$19</definedName>
    <definedName name="_xlnm.Print_Area" localSheetId="1">Report!$A$1:$R$54</definedName>
    <definedName name="_xlnm.Print_Area" localSheetId="3">'Stacked&amp;Idle'!$A$1:$P$25</definedName>
    <definedName name="_xlnm.Print_Titles" localSheetId="2">Footnotes!$1:$6</definedName>
    <definedName name="_xlnm.Print_Titles" localSheetId="1">Report!$A:$A,Report!$1:$9</definedName>
    <definedName name="Z_2B5E9AF3_7E15_4FFC_BC57_F18A8661CB86_.wvu.PrintArea" localSheetId="4" hidden="1">'Disclaimers&amp;Definitions '!$A$1:$L$6</definedName>
    <definedName name="Z_2B5E9AF3_7E15_4FFC_BC57_F18A8661CB86_.wvu.PrintArea" localSheetId="2" hidden="1">Footnotes!$C$1:$N$18</definedName>
    <definedName name="Z_2B5E9AF3_7E15_4FFC_BC57_F18A8661CB86_.wvu.PrintArea" localSheetId="1" hidden="1">Report!$A$1:$M$48</definedName>
    <definedName name="Z_2B5E9AF3_7E15_4FFC_BC57_F18A8661CB86_.wvu.PrintTitles" localSheetId="2" hidden="1">Footnotes!$1:$6</definedName>
    <definedName name="Z_2B5E9AF3_7E15_4FFC_BC57_F18A8661CB86_.wvu.PrintTitles" localSheetId="1" hidden="1">Report!$A:$A,Report!$1:$9</definedName>
    <definedName name="Z_6B3EFEE6_6D4B_487B_9131_15FDA5ABAE22_.wvu.PrintArea" localSheetId="4" hidden="1">'Disclaimers&amp;Definitions '!$A$1:$L$6</definedName>
    <definedName name="Z_6B3EFEE6_6D4B_487B_9131_15FDA5ABAE22_.wvu.PrintArea" localSheetId="2" hidden="1">Footnotes!$C$1:$N$18</definedName>
    <definedName name="Z_6B3EFEE6_6D4B_487B_9131_15FDA5ABAE22_.wvu.PrintArea" localSheetId="1" hidden="1">Report!$A$1:$M$48</definedName>
    <definedName name="Z_6B3EFEE6_6D4B_487B_9131_15FDA5ABAE22_.wvu.PrintTitles" localSheetId="2" hidden="1">Footnotes!$1:$6</definedName>
    <definedName name="Z_6B3EFEE6_6D4B_487B_9131_15FDA5ABAE22_.wvu.PrintTitles" localSheetId="1" hidden="1">Report!$A:$A,Report!$1:$9</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M54" i="1" l="1"/>
  <c r="J54" i="1"/>
  <c r="J45" i="1" l="1"/>
  <c r="J44" i="1"/>
  <c r="J40" i="1"/>
  <c r="J39" i="1"/>
  <c r="J38" i="1"/>
  <c r="M37" i="1"/>
  <c r="J37" i="1"/>
  <c r="M45" i="1" l="1"/>
  <c r="M44" i="1"/>
  <c r="J42" i="1"/>
  <c r="J41" i="1"/>
  <c r="J31" i="1"/>
  <c r="M17" i="1"/>
  <c r="M14" i="1"/>
  <c r="M39" i="1" l="1"/>
  <c r="M40" i="1"/>
  <c r="M41" i="1"/>
  <c r="M42" i="1"/>
  <c r="J17" i="1" l="1"/>
  <c r="M31" i="1" l="1"/>
  <c r="M30" i="1"/>
  <c r="I169" i="10" l="1"/>
  <c r="A3" i="10"/>
  <c r="A2" i="10"/>
  <c r="B2" i="2" l="1"/>
  <c r="B3" i="2"/>
</calcChain>
</file>

<file path=xl/sharedStrings.xml><?xml version="1.0" encoding="utf-8"?>
<sst xmlns="http://schemas.openxmlformats.org/spreadsheetml/2006/main" count="205" uniqueCount="133">
  <si>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</si>
  <si>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</si>
  <si>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</si>
  <si>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</si>
  <si>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(12)</t>
  </si>
  <si>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</si>
  <si>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Sedco 700</t>
  </si>
  <si>
    <t>Discoverer Seven Seas</t>
  </si>
  <si>
    <t>Rig Type/Name</t>
  </si>
  <si>
    <t>Water</t>
  </si>
  <si>
    <t>Sedneth 701</t>
  </si>
  <si>
    <t>Depth</t>
  </si>
  <si>
    <t>Service</t>
  </si>
  <si>
    <t>1976/1997</t>
  </si>
  <si>
    <t>1983/1997</t>
  </si>
  <si>
    <t>1972/1993</t>
  </si>
  <si>
    <t>Location</t>
  </si>
  <si>
    <t>USGOM</t>
  </si>
  <si>
    <t>UKNS</t>
  </si>
  <si>
    <t>Brazil</t>
  </si>
  <si>
    <t>Petrobras</t>
  </si>
  <si>
    <t>Nigeria</t>
  </si>
  <si>
    <t>Total</t>
  </si>
  <si>
    <t>Indonesia</t>
  </si>
  <si>
    <t>Australia</t>
  </si>
  <si>
    <t>India</t>
  </si>
  <si>
    <t>ONGC</t>
  </si>
  <si>
    <t>N/A</t>
  </si>
  <si>
    <t>BP</t>
  </si>
  <si>
    <t>1983/1996</t>
  </si>
  <si>
    <t xml:space="preserve"> </t>
  </si>
  <si>
    <t>ship</t>
  </si>
  <si>
    <t>semi</t>
  </si>
  <si>
    <t>Floater</t>
  </si>
  <si>
    <t>Type</t>
  </si>
  <si>
    <t>Anadarko</t>
  </si>
  <si>
    <t>Chevron</t>
  </si>
  <si>
    <t>«</t>
  </si>
  <si>
    <t>Entered</t>
  </si>
  <si>
    <t>Estimated</t>
  </si>
  <si>
    <t>(Feet)</t>
  </si>
  <si>
    <t>(Dollars)</t>
  </si>
  <si>
    <t>GSF Galaxy I</t>
  </si>
  <si>
    <t>1991/2001</t>
  </si>
  <si>
    <t>Footnotes</t>
  </si>
  <si>
    <t>DISCLAIMERS &amp; DEFINITIONS</t>
  </si>
  <si>
    <t>Customer</t>
  </si>
  <si>
    <t>Transocean Rather</t>
  </si>
  <si>
    <t>Stacked Rigs</t>
  </si>
  <si>
    <t>Prior to 2010</t>
  </si>
  <si>
    <t>Start Date</t>
  </si>
  <si>
    <t>Stacked and Idle rigs detailed above are not currently operating on contract.  Start date denotes when rig commences idle or stacked status.</t>
  </si>
  <si>
    <t>Dayrate on</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</si>
  <si>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</si>
  <si>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</si>
  <si>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</si>
  <si>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</si>
  <si>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</si>
  <si>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</si>
  <si>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</si>
  <si>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</si>
  <si>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</si>
  <si>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</si>
  <si>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</si>
  <si>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</si>
  <si>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</si>
  <si>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</si>
  <si>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</si>
  <si>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</si>
  <si>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Sedco 601</t>
  </si>
  <si>
    <t>J.W. McLean</t>
  </si>
  <si>
    <t>Reflects the current contracted dayrate which could reflect prior cost escalations and could change in the future due to further cost escalations.</t>
  </si>
  <si>
    <t>GDF Suez</t>
  </si>
  <si>
    <t>Transocean Amirante</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</si>
  <si>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</si>
  <si>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NPDC</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</si>
  <si>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</si>
  <si>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</si>
  <si>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</si>
  <si>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</si>
  <si>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</si>
  <si>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</si>
  <si>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</si>
  <si>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</si>
  <si>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</si>
  <si>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</si>
  <si>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t>
  </si>
  <si>
    <t>Discoverer Clear Leader</t>
  </si>
  <si>
    <t>Discoverer Spirit</t>
  </si>
  <si>
    <t>Deepwater Millennium</t>
  </si>
  <si>
    <t>GSF Development Driller II</t>
  </si>
  <si>
    <t xml:space="preserve"> (7), (8)</t>
  </si>
  <si>
    <t>Transocean Marianas</t>
  </si>
  <si>
    <t>M.G. Hulme, Jr.</t>
  </si>
  <si>
    <t>Sedco 710</t>
  </si>
  <si>
    <t>GSF Arctic I</t>
  </si>
  <si>
    <t>Transocean Driller</t>
  </si>
  <si>
    <t>Sedco 714</t>
  </si>
  <si>
    <t>GSF Galaxy II</t>
  </si>
  <si>
    <t>Sedco Energy</t>
  </si>
  <si>
    <t>Revisions Noted in Bold</t>
  </si>
  <si>
    <t>Q4</t>
  </si>
  <si>
    <t>Q1</t>
  </si>
  <si>
    <t>Q2</t>
  </si>
  <si>
    <t>Q3</t>
  </si>
  <si>
    <t>Prev</t>
  </si>
  <si>
    <t>The contract is expected to start in the quarter indicated.  Factors that could influence the contract start date include shipyard delivery, customer acceptance, and mobilization to operating location, among others.</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</si>
  <si>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</si>
  <si>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Inpex</t>
  </si>
  <si>
    <t>High Specification Floater: Deepwater</t>
  </si>
  <si>
    <t>Fixed-Price Options - See Footnote 10</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</si>
  <si>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</si>
  <si>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r>
      <t xml:space="preserve">Estimated Out of Service Days </t>
    </r>
    <r>
      <rPr>
        <b/>
        <vertAlign val="superscript"/>
        <sz val="10"/>
        <color theme="0"/>
        <rFont val="Arial"/>
        <family val="2"/>
      </rPr>
      <t>(4)</t>
    </r>
  </si>
  <si>
    <t>Woodside</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</si>
  <si>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</si>
  <si>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GSF Aleutian Key</t>
  </si>
  <si>
    <t>Midwater Floaters (5)</t>
  </si>
  <si>
    <t xml:space="preserve"> (6), (8)</t>
  </si>
  <si>
    <t xml:space="preserve"> (6), (12)</t>
  </si>
  <si>
    <t>Deepwater (3)</t>
  </si>
  <si>
    <t>Idle (3)</t>
  </si>
  <si>
    <t>Midwater Floaters</t>
  </si>
  <si>
    <t xml:space="preserve"> (6), (7)</t>
  </si>
  <si>
    <t>GSF Galaxy III</t>
  </si>
  <si>
    <t>Nexen</t>
  </si>
  <si>
    <t xml:space="preserve"> The company sold the high-specification jackup, GSF Monitor, which was previously held for sale. The details of the transaction have not been disclosed.</t>
  </si>
  <si>
    <t>Current</t>
  </si>
  <si>
    <r>
      <t xml:space="preserve">Contract </t>
    </r>
    <r>
      <rPr>
        <b/>
        <vertAlign val="superscript"/>
        <sz val="10"/>
        <color theme="0"/>
        <rFont val="Arial"/>
        <family val="2"/>
      </rPr>
      <t>(3)</t>
    </r>
  </si>
  <si>
    <t>Previous</t>
  </si>
  <si>
    <r>
      <t xml:space="preserve"> Contract </t>
    </r>
    <r>
      <rPr>
        <b/>
        <vertAlign val="superscript"/>
        <sz val="10"/>
        <color theme="0"/>
        <rFont val="Arial"/>
        <family val="2"/>
      </rPr>
      <t>(3)</t>
    </r>
  </si>
  <si>
    <t>TBA</t>
  </si>
  <si>
    <t>High Specification Jackups - See Footnote 13</t>
  </si>
  <si>
    <t>Updated: February 18,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</si>
</sst>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theme="8" tint="0.7999816888943144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72">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0"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20"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40" fillId="0" borderId="0" applyFont="0" applyFill="0" applyBorder="0" applyAlignment="0" applyProtection="0"/>
    <xf numFmtId="0" fontId="4" fillId="0" borderId="0"/>
    <xf numFmtId="0" fontId="40" fillId="0" borderId="0"/>
    <xf numFmtId="9" fontId="40" fillId="0" borderId="0" applyFont="0" applyFill="0" applyBorder="0" applyAlignment="0" applyProtection="0"/>
    <xf numFmtId="41" fontId="5" fillId="8" borderId="0" applyNumberFormat="0" applyFont="0" applyBorder="0" applyAlignment="0" applyProtection="0"/>
    <xf numFmtId="0" fontId="41" fillId="0" borderId="0" applyNumberFormat="0" applyFill="0" applyBorder="0" applyAlignment="0" applyProtection="0"/>
    <xf numFmtId="0" fontId="42" fillId="0" borderId="2">
      <alignment horizontal="left" vertical="center"/>
    </xf>
    <xf numFmtId="168" fontId="5" fillId="0" borderId="0"/>
    <xf numFmtId="0" fontId="42" fillId="0" borderId="16" applyNumberFormat="0" applyAlignment="0" applyProtection="0">
      <alignment horizontal="left" vertical="center"/>
    </xf>
    <xf numFmtId="43" fontId="4" fillId="0" borderId="0" applyFont="0" applyFill="0" applyBorder="0" applyAlignment="0" applyProtection="0"/>
    <xf numFmtId="44" fontId="40" fillId="0" borderId="0" applyFont="0" applyFill="0" applyBorder="0" applyAlignment="0" applyProtection="0"/>
    <xf numFmtId="43" fontId="4" fillId="0" borderId="0" applyFont="0" applyFill="0" applyBorder="0" applyAlignment="0" applyProtection="0"/>
    <xf numFmtId="37" fontId="43" fillId="0" borderId="0"/>
    <xf numFmtId="0" fontId="4" fillId="0" borderId="0"/>
    <xf numFmtId="49" fontId="44"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5" fillId="0" borderId="0"/>
    <xf numFmtId="0" fontId="5" fillId="0" borderId="0"/>
    <xf numFmtId="0" fontId="1"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5"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5" fillId="0" borderId="0"/>
  </cellStyleXfs>
  <cellXfs count="379">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5"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7" fillId="0" borderId="0" xfId="0" applyFont="1" applyFill="1" applyAlignment="1">
      <alignment vertical="top" wrapText="1"/>
    </xf>
    <xf numFmtId="0" fontId="17" fillId="0" borderId="0" xfId="0" applyFont="1" applyAlignment="1">
      <alignment vertical="top" wrapText="1"/>
    </xf>
    <xf numFmtId="0" fontId="6" fillId="0" borderId="0" xfId="0" quotePrefix="1" applyFont="1" applyFill="1" applyBorder="1" applyAlignment="1">
      <alignment vertical="center"/>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17" fontId="5" fillId="0" borderId="0" xfId="3" applyNumberFormat="1" applyFont="1" applyFill="1" applyAlignment="1">
      <alignment horizontal="right" vertical="top" wrapText="1"/>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Alignment="1">
      <alignment wrapText="1"/>
    </xf>
    <xf numFmtId="0" fontId="21" fillId="0" borderId="0" xfId="0" applyFont="1"/>
    <xf numFmtId="0" fontId="17"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Alignment="1">
      <alignment horizontal="left"/>
    </xf>
    <xf numFmtId="14" fontId="5" fillId="0" borderId="0" xfId="0" applyNumberFormat="1" applyFont="1" applyFill="1"/>
    <xf numFmtId="0" fontId="5" fillId="0" borderId="0" xfId="0" applyFont="1" applyFill="1" applyAlignment="1"/>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0" fontId="5" fillId="0" borderId="1" xfId="0" applyFont="1" applyFill="1" applyBorder="1"/>
    <xf numFmtId="166" fontId="5" fillId="0" borderId="0" xfId="0" applyNumberFormat="1" applyFont="1" applyFill="1"/>
    <xf numFmtId="167" fontId="5" fillId="0" borderId="0" xfId="4" applyNumberFormat="1" applyFont="1" applyFill="1" applyBorder="1" applyAlignment="1">
      <alignment vertical="top"/>
    </xf>
    <xf numFmtId="0" fontId="5" fillId="0" borderId="0" xfId="3" applyFont="1" applyFill="1" applyAlignment="1">
      <alignment horizontal="center" vertical="top" wrapText="1"/>
    </xf>
    <xf numFmtId="167" fontId="5" fillId="0" borderId="0" xfId="4" applyNumberFormat="1" applyFont="1" applyFill="1" applyBorder="1" applyAlignment="1">
      <alignment horizontal="right" vertical="top" wrapText="1"/>
    </xf>
    <xf numFmtId="0" fontId="5" fillId="0" borderId="0" xfId="16" applyFont="1"/>
    <xf numFmtId="0" fontId="5" fillId="0" borderId="0" xfId="16" applyFont="1" applyFill="1"/>
    <xf numFmtId="0" fontId="5" fillId="0" borderId="0" xfId="16" applyFont="1" applyFill="1" applyAlignment="1">
      <alignment vertical="center"/>
    </xf>
    <xf numFmtId="0" fontId="5" fillId="0" borderId="0" xfId="16"/>
    <xf numFmtId="167" fontId="5" fillId="0" borderId="6" xfId="4" applyNumberFormat="1" applyFont="1" applyFill="1" applyBorder="1" applyAlignment="1">
      <alignment horizontal="right" vertical="top" wrapText="1"/>
    </xf>
    <xf numFmtId="0" fontId="22" fillId="3" borderId="10" xfId="0" quotePrefix="1" applyFont="1" applyFill="1" applyBorder="1" applyAlignment="1"/>
    <xf numFmtId="0" fontId="23" fillId="3" borderId="8" xfId="0" applyFont="1" applyFill="1" applyBorder="1" applyAlignment="1"/>
    <xf numFmtId="0" fontId="24" fillId="3" borderId="3" xfId="0" applyFont="1" applyFill="1" applyBorder="1" applyAlignment="1">
      <alignment vertical="top"/>
    </xf>
    <xf numFmtId="0" fontId="25" fillId="3" borderId="3" xfId="0" applyFont="1" applyFill="1" applyBorder="1" applyAlignment="1">
      <alignment horizontal="center" vertical="top" wrapText="1"/>
    </xf>
    <xf numFmtId="0" fontId="25" fillId="3" borderId="3" xfId="0" applyFont="1" applyFill="1" applyBorder="1" applyAlignment="1">
      <alignment horizontal="center"/>
    </xf>
    <xf numFmtId="0" fontId="27" fillId="3" borderId="3" xfId="0" applyFont="1" applyFill="1" applyBorder="1" applyAlignment="1">
      <alignment vertical="top"/>
    </xf>
    <xf numFmtId="0" fontId="27" fillId="3" borderId="0" xfId="0" applyFont="1" applyFill="1" applyBorder="1" applyAlignment="1">
      <alignment vertical="top"/>
    </xf>
    <xf numFmtId="0" fontId="25" fillId="3" borderId="0" xfId="0" applyFont="1" applyFill="1" applyBorder="1" applyAlignment="1">
      <alignment horizontal="center"/>
    </xf>
    <xf numFmtId="0" fontId="25" fillId="3" borderId="1" xfId="0" applyFont="1" applyFill="1" applyBorder="1" applyAlignment="1">
      <alignment horizontal="center" vertical="top" wrapText="1"/>
    </xf>
    <xf numFmtId="0" fontId="27" fillId="3" borderId="1" xfId="0" applyFont="1" applyFill="1" applyBorder="1" applyAlignment="1">
      <alignment horizontal="center" vertical="top" wrapText="1"/>
    </xf>
    <xf numFmtId="0" fontId="25" fillId="3" borderId="1" xfId="0" applyFont="1" applyFill="1" applyBorder="1" applyAlignment="1">
      <alignment horizontal="center"/>
    </xf>
    <xf numFmtId="0" fontId="25" fillId="3" borderId="7" xfId="0" applyFont="1" applyFill="1" applyBorder="1" applyAlignment="1"/>
    <xf numFmtId="0" fontId="25" fillId="3" borderId="0" xfId="0" applyFont="1" applyFill="1" applyBorder="1" applyAlignment="1">
      <alignment horizontal="center" wrapText="1"/>
    </xf>
    <xf numFmtId="167" fontId="25" fillId="3" borderId="1" xfId="4" applyNumberFormat="1" applyFont="1" applyFill="1" applyBorder="1" applyAlignment="1">
      <alignment horizontal="center" vertical="top" wrapText="1"/>
    </xf>
    <xf numFmtId="0" fontId="25" fillId="3" borderId="11" xfId="0" applyFont="1" applyFill="1" applyBorder="1" applyAlignment="1">
      <alignment horizontal="center" vertical="top" wrapText="1"/>
    </xf>
    <xf numFmtId="0" fontId="23" fillId="4" borderId="2" xfId="0" quotePrefix="1" applyFont="1" applyFill="1" applyBorder="1" applyAlignment="1">
      <alignment vertical="top"/>
    </xf>
    <xf numFmtId="0" fontId="28" fillId="4" borderId="2" xfId="0" quotePrefix="1" applyFont="1" applyFill="1" applyBorder="1" applyAlignment="1">
      <alignment vertical="top"/>
    </xf>
    <xf numFmtId="167" fontId="29" fillId="4" borderId="2" xfId="4" quotePrefix="1" applyNumberFormat="1" applyFont="1" applyFill="1" applyBorder="1" applyAlignment="1">
      <alignment horizontal="center" vertical="top"/>
    </xf>
    <xf numFmtId="17" fontId="5" fillId="5" borderId="0" xfId="3" applyNumberFormat="1" applyFont="1" applyFill="1" applyAlignment="1">
      <alignment horizontal="right" vertical="top" wrapText="1"/>
    </xf>
    <xf numFmtId="167" fontId="5" fillId="5" borderId="0" xfId="4" applyNumberFormat="1" applyFont="1" applyFill="1" applyBorder="1" applyAlignment="1">
      <alignment vertical="top"/>
    </xf>
    <xf numFmtId="0" fontId="23" fillId="4" borderId="4" xfId="0" quotePrefix="1" applyFont="1" applyFill="1" applyBorder="1" applyAlignment="1">
      <alignment vertical="top"/>
    </xf>
    <xf numFmtId="0" fontId="24" fillId="4" borderId="2" xfId="0" quotePrefix="1" applyFont="1" applyFill="1" applyBorder="1" applyAlignment="1">
      <alignment vertical="top"/>
    </xf>
    <xf numFmtId="0" fontId="30" fillId="4" borderId="2" xfId="0" quotePrefix="1" applyFont="1" applyFill="1" applyBorder="1" applyAlignment="1">
      <alignment vertical="top"/>
    </xf>
    <xf numFmtId="0" fontId="31" fillId="4" borderId="2" xfId="0" quotePrefix="1" applyFont="1" applyFill="1" applyBorder="1" applyAlignment="1">
      <alignment vertical="top"/>
    </xf>
    <xf numFmtId="167" fontId="29" fillId="4" borderId="2" xfId="4" quotePrefix="1" applyNumberFormat="1" applyFont="1" applyFill="1" applyBorder="1" applyAlignment="1">
      <alignment vertical="top"/>
    </xf>
    <xf numFmtId="167" fontId="29" fillId="4" borderId="5" xfId="4" quotePrefix="1" applyNumberFormat="1" applyFont="1" applyFill="1" applyBorder="1" applyAlignment="1">
      <alignment horizontal="center" vertical="top"/>
    </xf>
    <xf numFmtId="49" fontId="24" fillId="4" borderId="2" xfId="0" quotePrefix="1" applyNumberFormat="1" applyFont="1" applyFill="1" applyBorder="1" applyAlignment="1">
      <alignment vertical="top"/>
    </xf>
    <xf numFmtId="0" fontId="24" fillId="4" borderId="4" xfId="0" applyFont="1" applyFill="1" applyBorder="1" applyAlignment="1">
      <alignment vertical="top"/>
    </xf>
    <xf numFmtId="0" fontId="24" fillId="4" borderId="2" xfId="0" applyFont="1" applyFill="1" applyBorder="1" applyAlignment="1">
      <alignment vertical="top"/>
    </xf>
    <xf numFmtId="49" fontId="25" fillId="3" borderId="13" xfId="0" applyNumberFormat="1" applyFont="1" applyFill="1" applyBorder="1" applyAlignment="1">
      <alignment horizontal="center" vertical="top"/>
    </xf>
    <xf numFmtId="0" fontId="25" fillId="3" borderId="15" xfId="0" applyFont="1" applyFill="1" applyBorder="1" applyAlignment="1">
      <alignment horizontal="center" vertical="top" wrapText="1"/>
    </xf>
    <xf numFmtId="0" fontId="5" fillId="0" borderId="0" xfId="16" applyFont="1" applyFill="1" applyAlignment="1">
      <alignment horizontal="left"/>
    </xf>
    <xf numFmtId="0" fontId="17" fillId="0" borderId="0" xfId="16" applyFont="1" applyFill="1"/>
    <xf numFmtId="165" fontId="5" fillId="0" borderId="0" xfId="16" quotePrefix="1" applyNumberFormat="1" applyFont="1" applyFill="1" applyAlignment="1">
      <alignment horizontal="left" vertical="center"/>
    </xf>
    <xf numFmtId="165" fontId="5" fillId="0" borderId="0" xfId="16" applyNumberFormat="1" applyFont="1" applyFill="1" applyAlignment="1">
      <alignment vertical="center"/>
    </xf>
    <xf numFmtId="0" fontId="5" fillId="0" borderId="0" xfId="16" applyFill="1"/>
    <xf numFmtId="0" fontId="6" fillId="0" borderId="0" xfId="16" applyFont="1" applyFill="1" applyBorder="1"/>
    <xf numFmtId="0" fontId="6" fillId="0" borderId="0" xfId="16" applyFont="1" applyFill="1" applyBorder="1" applyAlignment="1">
      <alignment horizontal="center" wrapText="1"/>
    </xf>
    <xf numFmtId="0" fontId="13" fillId="0" borderId="3" xfId="16" applyFont="1" applyFill="1" applyBorder="1" applyAlignment="1">
      <alignment vertical="top"/>
    </xf>
    <xf numFmtId="0" fontId="5" fillId="0" borderId="0" xfId="16" applyFont="1" applyFill="1" applyBorder="1"/>
    <xf numFmtId="0" fontId="5" fillId="0" borderId="0" xfId="16" applyFont="1" applyFill="1" applyAlignment="1">
      <alignment vertical="top" wrapText="1"/>
    </xf>
    <xf numFmtId="14" fontId="5" fillId="0" borderId="0" xfId="16" applyNumberFormat="1" applyFont="1" applyFill="1" applyAlignment="1">
      <alignment horizontal="center" vertical="top" wrapText="1"/>
    </xf>
    <xf numFmtId="3" fontId="5" fillId="0" borderId="0" xfId="16" applyNumberFormat="1" applyFont="1" applyFill="1" applyAlignment="1">
      <alignment horizontal="center" vertical="top" wrapText="1"/>
    </xf>
    <xf numFmtId="3" fontId="5" fillId="0" borderId="0" xfId="16" applyNumberFormat="1" applyFont="1" applyFill="1" applyAlignment="1">
      <alignment horizontal="right" vertical="top" wrapText="1"/>
    </xf>
    <xf numFmtId="0" fontId="17" fillId="0" borderId="0" xfId="16" applyFont="1" applyFill="1" applyBorder="1" applyAlignment="1">
      <alignment vertical="top"/>
    </xf>
    <xf numFmtId="0" fontId="6" fillId="0" borderId="0" xfId="16" applyFont="1"/>
    <xf numFmtId="14" fontId="6" fillId="0" borderId="0" xfId="16" applyNumberFormat="1" applyFont="1"/>
    <xf numFmtId="0" fontId="5" fillId="5" borderId="0" xfId="16" applyFont="1" applyFill="1"/>
    <xf numFmtId="0" fontId="5" fillId="5" borderId="0" xfId="16" quotePrefix="1" applyFont="1" applyFill="1" applyAlignment="1">
      <alignment horizontal="left" vertical="top" wrapText="1"/>
    </xf>
    <xf numFmtId="14" fontId="5" fillId="5" borderId="0" xfId="16" applyNumberFormat="1" applyFont="1" applyFill="1" applyAlignment="1">
      <alignment horizontal="center" vertical="top" wrapText="1"/>
    </xf>
    <xf numFmtId="3" fontId="5" fillId="5" borderId="0" xfId="16" applyNumberFormat="1" applyFont="1" applyFill="1" applyAlignment="1">
      <alignment horizontal="right" vertical="top" wrapText="1"/>
    </xf>
    <xf numFmtId="0" fontId="5" fillId="0" borderId="0" xfId="0" quotePrefix="1" applyFont="1" applyFill="1" applyAlignment="1">
      <alignment horizontal="left" vertical="center"/>
    </xf>
    <xf numFmtId="0" fontId="32" fillId="0" borderId="0" xfId="16" applyFont="1"/>
    <xf numFmtId="0" fontId="32" fillId="0" borderId="0" xfId="16" applyFont="1" applyFill="1"/>
    <xf numFmtId="0" fontId="32" fillId="0" borderId="0" xfId="0" applyFont="1" applyFill="1" applyAlignment="1"/>
    <xf numFmtId="0" fontId="33" fillId="0" borderId="0" xfId="16" applyFont="1"/>
    <xf numFmtId="0" fontId="32" fillId="6" borderId="0" xfId="16" applyFont="1" applyFill="1"/>
    <xf numFmtId="0" fontId="32" fillId="0" borderId="0" xfId="16" applyFont="1" applyAlignment="1">
      <alignment vertical="center"/>
    </xf>
    <xf numFmtId="0" fontId="32" fillId="0" borderId="0" xfId="16" applyFont="1" applyAlignment="1">
      <alignment vertical="top" wrapText="1"/>
    </xf>
    <xf numFmtId="167" fontId="5" fillId="0" borderId="1" xfId="4" applyNumberFormat="1" applyFont="1" applyFill="1" applyBorder="1" applyAlignment="1">
      <alignment horizontal="right" vertical="top" wrapText="1"/>
    </xf>
    <xf numFmtId="0" fontId="6" fillId="0" borderId="8" xfId="0" applyFont="1" applyFill="1" applyBorder="1"/>
    <xf numFmtId="0" fontId="5" fillId="0" borderId="8" xfId="0" applyFont="1" applyFill="1" applyBorder="1"/>
    <xf numFmtId="0" fontId="14" fillId="0" borderId="0" xfId="3" applyFont="1" applyFill="1" applyBorder="1" applyAlignment="1">
      <alignment horizontal="center" vertical="top"/>
    </xf>
    <xf numFmtId="17" fontId="5" fillId="0" borderId="0" xfId="2" applyNumberFormat="1" applyFont="1" applyFill="1" applyBorder="1" applyAlignment="1">
      <alignment horizontal="center" vertical="top" wrapText="1"/>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17" fontId="5" fillId="0" borderId="0" xfId="3" applyNumberFormat="1"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167" fontId="25"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0" fontId="5" fillId="0" borderId="1" xfId="0" applyFont="1" applyFill="1" applyBorder="1" applyAlignment="1">
      <alignment horizontal="center" vertical="top" wrapText="1"/>
    </xf>
    <xf numFmtId="3" fontId="5" fillId="0" borderId="1" xfId="0" applyNumberFormat="1" applyFont="1" applyFill="1" applyBorder="1" applyAlignment="1">
      <alignment horizontal="center" vertical="top" wrapText="1"/>
    </xf>
    <xf numFmtId="0" fontId="5" fillId="0" borderId="1" xfId="2" applyFont="1" applyFill="1" applyBorder="1" applyAlignment="1">
      <alignment horizontal="center" vertical="top"/>
    </xf>
    <xf numFmtId="0" fontId="24" fillId="3" borderId="10" xfId="0" applyFont="1" applyFill="1" applyBorder="1" applyAlignment="1">
      <alignment vertical="top"/>
    </xf>
    <xf numFmtId="0" fontId="25" fillId="3" borderId="7" xfId="0" applyFont="1" applyFill="1" applyBorder="1" applyAlignment="1">
      <alignment horizontal="center" vertical="top" wrapText="1"/>
    </xf>
    <xf numFmtId="0" fontId="25" fillId="3" borderId="1" xfId="0" applyFont="1" applyFill="1" applyBorder="1" applyAlignment="1">
      <alignment horizontal="center" vertical="top"/>
    </xf>
    <xf numFmtId="0" fontId="5" fillId="0" borderId="1" xfId="3" applyFont="1" applyFill="1" applyBorder="1" applyAlignment="1">
      <alignment horizontal="center" vertical="top"/>
    </xf>
    <xf numFmtId="0" fontId="5" fillId="0" borderId="0" xfId="3" applyFont="1" applyFill="1" applyBorder="1" applyAlignment="1">
      <alignment vertical="top" wrapText="1"/>
    </xf>
    <xf numFmtId="0" fontId="5" fillId="0" borderId="0" xfId="3"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29" fillId="4" borderId="4" xfId="0" applyFont="1" applyFill="1" applyBorder="1" applyAlignment="1">
      <alignment vertical="top"/>
    </xf>
    <xf numFmtId="0" fontId="29" fillId="4" borderId="12" xfId="0" applyFont="1" applyFill="1" applyBorder="1" applyAlignment="1">
      <alignment horizontal="right" vertical="top"/>
    </xf>
    <xf numFmtId="49" fontId="29" fillId="4" borderId="2" xfId="0" quotePrefix="1" applyNumberFormat="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0" fontId="34" fillId="4" borderId="4" xfId="0" quotePrefix="1" applyFont="1" applyFill="1" applyBorder="1" applyAlignment="1">
      <alignment vertical="top"/>
    </xf>
    <xf numFmtId="167" fontId="29" fillId="4" borderId="12" xfId="4" applyNumberFormat="1" applyFont="1" applyFill="1" applyBorder="1" applyAlignment="1">
      <alignment horizontal="right" vertical="top"/>
    </xf>
    <xf numFmtId="167" fontId="34" fillId="4" borderId="12" xfId="4" quotePrefix="1" applyNumberFormat="1" applyFont="1" applyFill="1" applyBorder="1" applyAlignment="1">
      <alignment horizontal="right" vertical="top"/>
    </xf>
    <xf numFmtId="0" fontId="29" fillId="4" borderId="2" xfId="0" quotePrefix="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5" fillId="0" borderId="0" xfId="0" quotePrefix="1" applyFont="1" applyFill="1" applyBorder="1" applyAlignment="1">
      <alignment horizontal="left" vertical="top" wrapText="1"/>
    </xf>
    <xf numFmtId="0" fontId="12" fillId="0" borderId="10" xfId="0" quotePrefix="1" applyFont="1" applyFill="1" applyBorder="1" applyAlignment="1">
      <alignment vertical="top"/>
    </xf>
    <xf numFmtId="0" fontId="36"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quotePrefix="1" applyFont="1" applyFill="1" applyBorder="1" applyAlignment="1">
      <alignment horizontal="right" vertical="top" wrapText="1"/>
    </xf>
    <xf numFmtId="167" fontId="6" fillId="0" borderId="6" xfId="4" applyNumberFormat="1" applyFont="1" applyFill="1" applyBorder="1" applyAlignment="1">
      <alignment horizontal="center" vertical="top"/>
    </xf>
    <xf numFmtId="0" fontId="17" fillId="5" borderId="0" xfId="16" applyFont="1" applyFill="1" applyAlignment="1">
      <alignment vertical="top"/>
    </xf>
    <xf numFmtId="2" fontId="17" fillId="5" borderId="0" xfId="16" applyNumberFormat="1" applyFont="1" applyFill="1" applyAlignment="1">
      <alignment vertical="top"/>
    </xf>
    <xf numFmtId="2" fontId="5" fillId="5" borderId="0" xfId="16" applyNumberFormat="1" applyFont="1" applyFill="1" applyAlignment="1">
      <alignment horizontal="center" vertical="top"/>
    </xf>
    <xf numFmtId="3" fontId="5" fillId="5" borderId="0" xfId="16" quotePrefix="1" applyNumberFormat="1" applyFont="1" applyFill="1" applyAlignment="1">
      <alignment horizontal="right" vertical="top" wrapText="1"/>
    </xf>
    <xf numFmtId="0" fontId="5" fillId="7" borderId="0" xfId="0" applyFont="1" applyFill="1" applyBorder="1"/>
    <xf numFmtId="0" fontId="5" fillId="7" borderId="0" xfId="0" applyFont="1" applyFill="1"/>
    <xf numFmtId="0" fontId="5" fillId="5" borderId="0" xfId="0" applyFont="1" applyFill="1" applyBorder="1"/>
    <xf numFmtId="0" fontId="25" fillId="0" borderId="0" xfId="0" applyFont="1" applyFill="1" applyBorder="1" applyAlignment="1">
      <alignment horizontal="center" wrapText="1"/>
    </xf>
    <xf numFmtId="0" fontId="5" fillId="0" borderId="0" xfId="0" applyFont="1" applyFill="1" applyBorder="1" applyAlignment="1">
      <alignment horizontal="right"/>
    </xf>
    <xf numFmtId="167" fontId="27" fillId="4" borderId="5" xfId="4" quotePrefix="1" applyNumberFormat="1" applyFont="1" applyFill="1" applyBorder="1" applyAlignment="1">
      <alignment horizontal="center" vertical="top"/>
    </xf>
    <xf numFmtId="167" fontId="27" fillId="4" borderId="2" xfId="4" quotePrefix="1" applyNumberFormat="1" applyFont="1" applyFill="1" applyBorder="1" applyAlignment="1">
      <alignment horizontal="center" vertical="top"/>
    </xf>
    <xf numFmtId="0" fontId="25" fillId="3" borderId="9" xfId="0" applyFont="1" applyFill="1" applyBorder="1" applyAlignment="1">
      <alignment horizontal="center"/>
    </xf>
    <xf numFmtId="0" fontId="25" fillId="3" borderId="6" xfId="0" applyFont="1" applyFill="1" applyBorder="1" applyAlignment="1">
      <alignment horizontal="center" wrapText="1"/>
    </xf>
    <xf numFmtId="0" fontId="27" fillId="3" borderId="11" xfId="0" applyFont="1" applyFill="1" applyBorder="1" applyAlignment="1">
      <alignment horizontal="center" vertical="top" wrapText="1"/>
    </xf>
    <xf numFmtId="164" fontId="5" fillId="0" borderId="6" xfId="2" applyNumberFormat="1" applyFont="1" applyFill="1" applyBorder="1" applyAlignment="1">
      <alignment horizontal="right" vertical="top" wrapText="1"/>
    </xf>
    <xf numFmtId="164" fontId="5" fillId="0" borderId="6" xfId="3" applyNumberFormat="1" applyFont="1" applyFill="1" applyBorder="1" applyAlignment="1">
      <alignment horizontal="right" vertical="top" wrapText="1"/>
    </xf>
    <xf numFmtId="0" fontId="25" fillId="0" borderId="0" xfId="0" applyFont="1" applyFill="1" applyBorder="1" applyAlignment="1">
      <alignment horizontal="center"/>
    </xf>
    <xf numFmtId="0" fontId="34" fillId="0" borderId="0" xfId="0" quotePrefix="1" applyFont="1" applyFill="1" applyBorder="1" applyAlignment="1">
      <alignment vertical="top"/>
    </xf>
    <xf numFmtId="0" fontId="12" fillId="0" borderId="0" xfId="0" quotePrefix="1" applyFont="1" applyFill="1" applyBorder="1" applyAlignment="1">
      <alignment vertical="top"/>
    </xf>
    <xf numFmtId="0" fontId="29" fillId="0" borderId="0" xfId="0" quotePrefix="1" applyFont="1" applyFill="1" applyBorder="1" applyAlignment="1">
      <alignment vertical="top"/>
    </xf>
    <xf numFmtId="167" fontId="29" fillId="0" borderId="0" xfId="4" quotePrefix="1" applyNumberFormat="1" applyFont="1" applyFill="1" applyBorder="1" applyAlignment="1">
      <alignment vertical="top"/>
    </xf>
    <xf numFmtId="164" fontId="5" fillId="0" borderId="1" xfId="3" applyNumberFormat="1" applyFont="1" applyFill="1" applyBorder="1" applyAlignment="1">
      <alignment horizontal="right" vertical="top" wrapText="1"/>
    </xf>
    <xf numFmtId="0" fontId="34"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9" fillId="4" borderId="2" xfId="0" quotePrefix="1" applyFont="1" applyFill="1" applyBorder="1" applyAlignment="1">
      <alignment horizontal="center" vertical="top"/>
    </xf>
    <xf numFmtId="0" fontId="5" fillId="0" borderId="6" xfId="0" applyFont="1" applyFill="1" applyBorder="1" applyAlignment="1">
      <alignment horizontal="right"/>
    </xf>
    <xf numFmtId="0" fontId="34" fillId="4" borderId="2" xfId="0" quotePrefix="1" applyFont="1" applyFill="1" applyBorder="1" applyAlignment="1">
      <alignment horizontal="right" vertical="top"/>
    </xf>
    <xf numFmtId="0" fontId="34"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39"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7" fontId="6" fillId="0" borderId="0" xfId="2" applyNumberFormat="1" applyFont="1" applyFill="1" applyBorder="1" applyAlignment="1">
      <alignment horizontal="center" vertical="top" wrapText="1"/>
    </xf>
    <xf numFmtId="165" fontId="5" fillId="0" borderId="0" xfId="0" applyNumberFormat="1" applyFont="1" applyFill="1" applyAlignment="1">
      <alignment vertical="center"/>
    </xf>
    <xf numFmtId="165" fontId="45" fillId="0" borderId="0" xfId="0" applyNumberFormat="1" applyFont="1" applyFill="1" applyAlignment="1">
      <alignment horizontal="left" vertical="center"/>
    </xf>
    <xf numFmtId="167" fontId="27" fillId="0" borderId="0" xfId="4" applyNumberFormat="1" applyFont="1" applyFill="1" applyBorder="1" applyAlignment="1">
      <alignment vertical="top"/>
    </xf>
    <xf numFmtId="167" fontId="12" fillId="0" borderId="0" xfId="4" quotePrefix="1" applyNumberFormat="1" applyFont="1" applyFill="1" applyBorder="1" applyAlignment="1">
      <alignment horizontal="center" vertical="top"/>
    </xf>
    <xf numFmtId="0" fontId="17" fillId="0" borderId="0" xfId="0" applyFont="1" applyAlignment="1">
      <alignment horizontal="left" vertical="top" wrapText="1"/>
    </xf>
    <xf numFmtId="17" fontId="5" fillId="0" borderId="1" xfId="3" applyNumberFormat="1" applyFont="1" applyFill="1" applyBorder="1" applyAlignment="1">
      <alignment horizontal="center" vertical="top" wrapText="1"/>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0" fontId="5" fillId="0" borderId="0" xfId="16" applyFont="1" applyFill="1" applyAlignment="1">
      <alignment horizontal="left" vertical="top" wrapText="1"/>
    </xf>
    <xf numFmtId="0" fontId="17" fillId="0" borderId="0" xfId="16" applyFont="1" applyFill="1" applyAlignment="1">
      <alignment vertical="top"/>
    </xf>
    <xf numFmtId="2" fontId="17" fillId="0" borderId="0" xfId="16" applyNumberFormat="1" applyFont="1" applyFill="1" applyAlignment="1">
      <alignment vertical="top"/>
    </xf>
    <xf numFmtId="2" fontId="5" fillId="0" borderId="0" xfId="16" applyNumberFormat="1" applyFont="1" applyFill="1" applyAlignment="1">
      <alignment horizontal="center" vertical="top"/>
    </xf>
    <xf numFmtId="3" fontId="5" fillId="0" borderId="0" xfId="16" quotePrefix="1" applyNumberFormat="1" applyFont="1" applyFill="1" applyAlignment="1">
      <alignment horizontal="right" vertical="top" wrapText="1"/>
    </xf>
    <xf numFmtId="0" fontId="5" fillId="5" borderId="0" xfId="0" applyFont="1" applyFill="1"/>
    <xf numFmtId="167" fontId="5" fillId="0" borderId="15" xfId="4" quotePrefix="1"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0" fontId="18" fillId="0" borderId="0" xfId="16" applyFont="1" applyFill="1" applyBorder="1" applyAlignment="1">
      <alignment vertical="top"/>
    </xf>
    <xf numFmtId="0" fontId="6" fillId="0" borderId="0" xfId="16" applyFont="1" applyFill="1" applyBorder="1"/>
    <xf numFmtId="0" fontId="5" fillId="0" borderId="0" xfId="16" applyFont="1" applyFill="1" applyBorder="1"/>
    <xf numFmtId="14" fontId="5" fillId="0" borderId="0" xfId="16" applyNumberFormat="1" applyFont="1" applyFill="1" applyBorder="1" applyAlignment="1">
      <alignment horizontal="center"/>
    </xf>
    <xf numFmtId="14" fontId="5" fillId="5" borderId="0" xfId="16" applyNumberFormat="1" applyFont="1" applyFill="1" applyAlignment="1">
      <alignment horizontal="center" vertical="top" wrapText="1"/>
    </xf>
    <xf numFmtId="0" fontId="5" fillId="5" borderId="0" xfId="16" applyFont="1" applyFill="1" applyAlignment="1">
      <alignment horizontal="left" vertical="top" wrapText="1"/>
    </xf>
    <xf numFmtId="0" fontId="17" fillId="0" borderId="0" xfId="16" applyFont="1" applyFill="1" applyBorder="1" applyAlignment="1">
      <alignment vertical="top"/>
    </xf>
    <xf numFmtId="0" fontId="23" fillId="4" borderId="4" xfId="16" quotePrefix="1" applyFont="1" applyFill="1" applyBorder="1" applyAlignment="1">
      <alignment vertical="top"/>
    </xf>
    <xf numFmtId="0" fontId="23" fillId="4" borderId="2" xfId="16" quotePrefix="1" applyFont="1" applyFill="1" applyBorder="1" applyAlignment="1">
      <alignment vertical="top"/>
    </xf>
    <xf numFmtId="49" fontId="24" fillId="4" borderId="2" xfId="16" quotePrefix="1" applyNumberFormat="1" applyFont="1" applyFill="1" applyBorder="1" applyAlignment="1">
      <alignment vertical="top"/>
    </xf>
    <xf numFmtId="0" fontId="24" fillId="4" borderId="2" xfId="16" quotePrefix="1" applyFont="1" applyFill="1" applyBorder="1" applyAlignment="1">
      <alignment vertical="top"/>
    </xf>
    <xf numFmtId="0" fontId="30" fillId="4" borderId="2" xfId="16" quotePrefix="1" applyFont="1" applyFill="1" applyBorder="1" applyAlignment="1">
      <alignment vertical="top"/>
    </xf>
    <xf numFmtId="0" fontId="31" fillId="4" borderId="2" xfId="16" quotePrefix="1" applyFont="1" applyFill="1" applyBorder="1" applyAlignment="1">
      <alignment vertical="top"/>
    </xf>
    <xf numFmtId="49" fontId="6" fillId="0" borderId="0" xfId="0" applyNumberFormat="1" applyFont="1" applyAlignment="1">
      <alignment horizontal="right" vertical="top" wrapText="1"/>
    </xf>
    <xf numFmtId="0" fontId="5" fillId="7" borderId="0" xfId="16" applyFont="1" applyFill="1" applyBorder="1"/>
    <xf numFmtId="14" fontId="5" fillId="7" borderId="0" xfId="16" applyNumberFormat="1" applyFont="1" applyFill="1" applyBorder="1" applyAlignment="1">
      <alignment horizontal="center"/>
    </xf>
    <xf numFmtId="167" fontId="5" fillId="7" borderId="0" xfId="4" applyNumberFormat="1" applyFont="1" applyFill="1" applyBorder="1" applyAlignment="1">
      <alignment vertical="top"/>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0" fontId="6" fillId="0" borderId="8" xfId="0" quotePrefix="1" applyFont="1" applyFill="1" applyBorder="1" applyAlignment="1">
      <alignment horizontal="left" vertical="top" wrapText="1"/>
    </xf>
    <xf numFmtId="0" fontId="5" fillId="0" borderId="0" xfId="0" applyFont="1" applyFill="1" applyAlignment="1">
      <alignment horizontal="left" vertical="top"/>
    </xf>
    <xf numFmtId="0" fontId="5" fillId="0" borderId="0" xfId="0" applyFont="1" applyFill="1" applyBorder="1" applyAlignment="1">
      <alignment horizontal="left" vertical="top"/>
    </xf>
    <xf numFmtId="0" fontId="6" fillId="0" borderId="0" xfId="0" applyFont="1" applyFill="1" applyBorder="1" applyAlignment="1">
      <alignment horizontal="left" vertical="top"/>
    </xf>
    <xf numFmtId="0" fontId="5" fillId="5" borderId="0" xfId="0" applyFont="1" applyFill="1" applyBorder="1" applyAlignment="1">
      <alignment horizontal="left" vertical="top"/>
    </xf>
    <xf numFmtId="0" fontId="5" fillId="5" borderId="0" xfId="0" applyFont="1" applyFill="1" applyAlignment="1">
      <alignment horizontal="left" vertical="top"/>
    </xf>
    <xf numFmtId="0" fontId="5" fillId="7" borderId="0" xfId="0" applyFont="1" applyFill="1" applyAlignment="1">
      <alignment horizontal="left" vertical="top"/>
    </xf>
    <xf numFmtId="0" fontId="6" fillId="0" borderId="8" xfId="3" applyFont="1" applyFill="1" applyBorder="1" applyAlignment="1">
      <alignment vertical="top" wrapText="1"/>
    </xf>
    <xf numFmtId="167" fontId="5" fillId="0" borderId="15" xfId="4" applyNumberFormat="1" applyFont="1" applyFill="1" applyBorder="1" applyAlignment="1">
      <alignment horizontal="right" vertical="top" wrapText="1"/>
    </xf>
    <xf numFmtId="0" fontId="5" fillId="0" borderId="1" xfId="37" applyFont="1" applyFill="1" applyBorder="1" applyAlignment="1">
      <alignment horizontal="center" vertical="top" wrapText="1"/>
    </xf>
    <xf numFmtId="3" fontId="5" fillId="0" borderId="1" xfId="37" applyNumberFormat="1" applyFont="1" applyFill="1" applyBorder="1" applyAlignment="1">
      <alignment horizontal="center" vertical="top" wrapText="1"/>
    </xf>
    <xf numFmtId="167" fontId="6" fillId="0" borderId="1" xfId="4" applyNumberFormat="1" applyFont="1" applyFill="1" applyBorder="1" applyAlignment="1">
      <alignment horizontal="center" vertical="top"/>
    </xf>
    <xf numFmtId="0" fontId="14" fillId="0" borderId="1" xfId="2" applyFont="1" applyFill="1" applyBorder="1" applyAlignment="1">
      <alignment horizontal="center" vertical="top"/>
    </xf>
    <xf numFmtId="0" fontId="6" fillId="0" borderId="7" xfId="0" quotePrefix="1" applyFont="1" applyFill="1" applyBorder="1" applyAlignment="1">
      <alignment horizontal="left" vertical="top" wrapText="1"/>
    </xf>
    <xf numFmtId="167" fontId="5" fillId="5" borderId="0" xfId="4" applyNumberFormat="1" applyFont="1" applyFill="1" applyBorder="1" applyAlignment="1">
      <alignment horizontal="left" vertical="top"/>
    </xf>
    <xf numFmtId="0" fontId="6" fillId="0" borderId="0" xfId="0" applyFont="1" applyFill="1" applyBorder="1" applyAlignment="1">
      <alignment vertical="center"/>
    </xf>
    <xf numFmtId="167" fontId="6" fillId="0" borderId="0" xfId="4" applyNumberFormat="1" applyFont="1" applyFill="1" applyBorder="1" applyAlignment="1">
      <alignment horizontal="right" vertical="top" wrapText="1"/>
    </xf>
    <xf numFmtId="17" fontId="6" fillId="0" borderId="0" xfId="3" applyNumberFormat="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6" fillId="0" borderId="1"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0" fontId="6" fillId="0" borderId="7" xfId="37" applyFont="1" applyFill="1" applyBorder="1" applyAlignment="1">
      <alignment vertical="top" wrapText="1"/>
    </xf>
    <xf numFmtId="164" fontId="5" fillId="0" borderId="11" xfId="2" applyNumberFormat="1" applyFont="1" applyFill="1" applyBorder="1" applyAlignment="1">
      <alignment horizontal="right" vertical="top" wrapText="1"/>
    </xf>
    <xf numFmtId="0" fontId="5" fillId="0" borderId="7" xfId="2" applyFont="1" applyFill="1" applyBorder="1" applyAlignment="1">
      <alignment vertical="top" wrapText="1"/>
    </xf>
    <xf numFmtId="0" fontId="5" fillId="0" borderId="7" xfId="0" applyFont="1" applyFill="1" applyBorder="1"/>
    <xf numFmtId="3" fontId="5" fillId="0" borderId="0" xfId="3" applyNumberFormat="1" applyFont="1" applyFill="1" applyBorder="1" applyAlignment="1">
      <alignment horizontal="right" vertical="top" wrapText="1"/>
    </xf>
    <xf numFmtId="0" fontId="6" fillId="0" borderId="7" xfId="0" applyFont="1" applyFill="1" applyBorder="1" applyAlignment="1">
      <alignment vertical="top" wrapText="1"/>
    </xf>
    <xf numFmtId="0" fontId="8" fillId="0" borderId="13" xfId="0" applyFont="1" applyFill="1" applyBorder="1" applyAlignment="1">
      <alignment horizontal="right"/>
    </xf>
    <xf numFmtId="167" fontId="5" fillId="0" borderId="15" xfId="4" applyNumberFormat="1" applyFont="1" applyFill="1" applyBorder="1" applyAlignment="1">
      <alignment horizontal="right"/>
    </xf>
    <xf numFmtId="0" fontId="6" fillId="0" borderId="8" xfId="0" applyFont="1" applyFill="1" applyBorder="1" applyAlignment="1">
      <alignment horizontal="justify" vertical="top" wrapText="1"/>
    </xf>
    <xf numFmtId="0" fontId="5" fillId="0" borderId="0" xfId="39" applyFont="1" applyFill="1" applyBorder="1" applyAlignment="1">
      <alignment horizontal="center" vertical="top" wrapText="1"/>
    </xf>
    <xf numFmtId="0" fontId="5" fillId="0" borderId="6" xfId="0" applyFont="1" applyFill="1" applyBorder="1"/>
    <xf numFmtId="0" fontId="11" fillId="0" borderId="8" xfId="0" applyFont="1" applyFill="1" applyBorder="1"/>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167" fontId="6" fillId="0" borderId="11" xfId="4" applyNumberFormat="1" applyFont="1" applyFill="1" applyBorder="1" applyAlignment="1">
      <alignment horizontal="center" vertical="top"/>
    </xf>
    <xf numFmtId="0" fontId="34" fillId="4" borderId="2" xfId="0" quotePrefix="1" applyFont="1" applyFill="1" applyBorder="1" applyAlignment="1">
      <alignment horizontal="right" vertical="top" wrapText="1"/>
    </xf>
    <xf numFmtId="0" fontId="34" fillId="4" borderId="5" xfId="0" quotePrefix="1" applyFont="1" applyFill="1" applyBorder="1" applyAlignment="1">
      <alignment horizontal="right" vertical="top" wrapText="1"/>
    </xf>
    <xf numFmtId="0" fontId="32" fillId="0" borderId="0" xfId="0" quotePrefix="1" applyFont="1" applyFill="1" applyBorder="1" applyAlignment="1">
      <alignment vertical="top"/>
    </xf>
    <xf numFmtId="167" fontId="27" fillId="0" borderId="0" xfId="4" quotePrefix="1" applyNumberFormat="1" applyFont="1" applyFill="1" applyBorder="1" applyAlignment="1">
      <alignment horizontal="center" vertical="top"/>
    </xf>
    <xf numFmtId="0" fontId="29" fillId="0" borderId="10" xfId="0" applyFont="1" applyFill="1" applyBorder="1" applyAlignment="1">
      <alignment vertical="top"/>
    </xf>
    <xf numFmtId="167" fontId="29" fillId="0" borderId="13" xfId="4" applyNumberFormat="1" applyFont="1" applyFill="1" applyBorder="1" applyAlignment="1">
      <alignment horizontal="right" vertical="top"/>
    </xf>
    <xf numFmtId="49" fontId="29" fillId="0" borderId="3" xfId="0" quotePrefix="1" applyNumberFormat="1" applyFont="1" applyFill="1" applyBorder="1" applyAlignment="1">
      <alignment vertical="top"/>
    </xf>
    <xf numFmtId="0" fontId="34" fillId="0" borderId="3" xfId="0" quotePrefix="1" applyFont="1" applyFill="1" applyBorder="1" applyAlignment="1">
      <alignment vertical="top"/>
    </xf>
    <xf numFmtId="0" fontId="35" fillId="0" borderId="3" xfId="0" quotePrefix="1" applyFont="1" applyFill="1" applyBorder="1" applyAlignment="1">
      <alignment vertical="top"/>
    </xf>
    <xf numFmtId="0" fontId="34" fillId="0" borderId="3" xfId="0" quotePrefix="1" applyFont="1" applyFill="1" applyBorder="1" applyAlignment="1">
      <alignment horizontal="center" vertical="top"/>
    </xf>
    <xf numFmtId="0" fontId="34" fillId="0" borderId="3" xfId="0" quotePrefix="1" applyFont="1" applyFill="1" applyBorder="1" applyAlignment="1">
      <alignment horizontal="right" vertical="top" wrapText="1"/>
    </xf>
    <xf numFmtId="0" fontId="34" fillId="0" borderId="9" xfId="0" quotePrefix="1" applyFont="1" applyFill="1" applyBorder="1" applyAlignment="1">
      <alignment horizontal="right" vertical="top" wrapText="1"/>
    </xf>
    <xf numFmtId="49" fontId="25" fillId="3" borderId="14" xfId="0" applyNumberFormat="1" applyFont="1" applyFill="1" applyBorder="1" applyAlignment="1">
      <alignment horizontal="center" wrapText="1"/>
    </xf>
    <xf numFmtId="0" fontId="25" fillId="3" borderId="8" xfId="0" applyFont="1" applyFill="1" applyBorder="1" applyAlignment="1">
      <alignment horizontal="center"/>
    </xf>
    <xf numFmtId="0" fontId="25" fillId="3" borderId="8" xfId="0" applyFont="1" applyFill="1" applyBorder="1" applyAlignment="1">
      <alignment horizontal="center" vertical="top"/>
    </xf>
    <xf numFmtId="0" fontId="25" fillId="3" borderId="0" xfId="0" applyFont="1" applyFill="1" applyBorder="1" applyAlignment="1">
      <alignment horizontal="center" vertical="top"/>
    </xf>
    <xf numFmtId="0" fontId="25" fillId="3" borderId="6" xfId="0" applyFont="1" applyFill="1" applyBorder="1" applyAlignment="1">
      <alignment horizontal="center" vertical="top"/>
    </xf>
    <xf numFmtId="0" fontId="22" fillId="3" borderId="8" xfId="0" quotePrefix="1" applyFont="1" applyFill="1" applyBorder="1" applyAlignment="1"/>
    <xf numFmtId="49" fontId="25" fillId="3" borderId="14" xfId="0" applyNumberFormat="1" applyFont="1" applyFill="1" applyBorder="1" applyAlignment="1">
      <alignment horizontal="center" vertical="top"/>
    </xf>
    <xf numFmtId="0" fontId="24" fillId="3" borderId="8" xfId="0" applyFont="1" applyFill="1" applyBorder="1" applyAlignment="1">
      <alignment vertical="top"/>
    </xf>
    <xf numFmtId="0" fontId="24" fillId="3" borderId="0" xfId="0" applyFont="1" applyFill="1" applyBorder="1" applyAlignment="1">
      <alignment vertical="top"/>
    </xf>
    <xf numFmtId="0" fontId="25" fillId="3" borderId="6" xfId="0" applyFont="1" applyFill="1" applyBorder="1" applyAlignment="1">
      <alignment horizontal="center"/>
    </xf>
    <xf numFmtId="0" fontId="25" fillId="3" borderId="0" xfId="0" applyFont="1" applyFill="1" applyBorder="1" applyAlignment="1">
      <alignment horizontal="center" vertical="top" wrapText="1"/>
    </xf>
    <xf numFmtId="167" fontId="6" fillId="0" borderId="7" xfId="4" applyNumberFormat="1" applyFont="1" applyFill="1" applyBorder="1" applyAlignment="1">
      <alignment horizontal="center" vertical="top"/>
    </xf>
    <xf numFmtId="167" fontId="5" fillId="0" borderId="1" xfId="4"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0" fontId="27" fillId="0" borderId="14" xfId="0" applyFont="1" applyFill="1" applyBorder="1" applyAlignment="1">
      <alignment horizontal="center" vertical="top" wrapText="1"/>
    </xf>
    <xf numFmtId="0" fontId="25" fillId="3" borderId="10" xfId="0" applyFont="1" applyFill="1" applyBorder="1" applyAlignment="1">
      <alignment horizontal="center" vertical="top"/>
    </xf>
    <xf numFmtId="0" fontId="25" fillId="3" borderId="3" xfId="0" applyFont="1" applyFill="1" applyBorder="1" applyAlignment="1">
      <alignment horizontal="center" vertical="top"/>
    </xf>
    <xf numFmtId="0" fontId="25" fillId="3" borderId="9" xfId="0" applyFont="1" applyFill="1" applyBorder="1" applyAlignment="1">
      <alignment horizontal="center" vertical="top"/>
    </xf>
    <xf numFmtId="0" fontId="25" fillId="3" borderId="8" xfId="0" applyFont="1" applyFill="1" applyBorder="1" applyAlignment="1">
      <alignment horizontal="center" vertical="top"/>
    </xf>
    <xf numFmtId="0" fontId="25" fillId="3" borderId="0" xfId="0" applyFont="1" applyFill="1" applyBorder="1" applyAlignment="1">
      <alignment horizontal="center" vertical="top"/>
    </xf>
    <xf numFmtId="0" fontId="25" fillId="3" borderId="6" xfId="0" applyFont="1" applyFill="1" applyBorder="1" applyAlignment="1">
      <alignment horizontal="center" vertical="top"/>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11" fillId="0" borderId="2" xfId="2"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6" fillId="0" borderId="0" xfId="0" applyFont="1" applyFill="1" applyAlignment="1">
      <alignment horizontal="left" vertical="top" wrapText="1"/>
    </xf>
    <xf numFmtId="0" fontId="6" fillId="0" borderId="0" xfId="16" quotePrefix="1" applyFont="1" applyFill="1" applyAlignment="1">
      <alignment horizontal="left" vertical="center"/>
    </xf>
    <xf numFmtId="0" fontId="6" fillId="0" borderId="0" xfId="16" applyFont="1" applyFill="1" applyAlignment="1">
      <alignment vertical="center"/>
    </xf>
    <xf numFmtId="0" fontId="5" fillId="0" borderId="0" xfId="16" applyNumberFormat="1" applyFill="1" applyAlignment="1">
      <alignment wrapText="1"/>
    </xf>
    <xf numFmtId="0" fontId="5" fillId="0" borderId="0" xfId="16" applyFill="1" applyAlignment="1">
      <alignment wrapText="1"/>
    </xf>
    <xf numFmtId="0" fontId="22" fillId="3" borderId="2" xfId="16" applyFont="1" applyFill="1" applyBorder="1" applyAlignment="1">
      <alignment horizontal="center"/>
    </xf>
    <xf numFmtId="0" fontId="6" fillId="9" borderId="8" xfId="0" applyFont="1" applyFill="1" applyBorder="1" applyAlignment="1">
      <alignment vertical="top" wrapText="1"/>
    </xf>
    <xf numFmtId="0" fontId="5" fillId="9" borderId="14" xfId="0" applyFont="1" applyFill="1" applyBorder="1" applyAlignment="1">
      <alignment horizontal="right" vertical="top" wrapText="1"/>
    </xf>
    <xf numFmtId="0" fontId="5" fillId="9" borderId="0" xfId="0" applyFont="1" applyFill="1" applyBorder="1" applyAlignment="1">
      <alignment horizontal="center" vertical="top" wrapText="1"/>
    </xf>
    <xf numFmtId="0" fontId="14" fillId="9" borderId="0" xfId="2" applyFont="1" applyFill="1" applyBorder="1" applyAlignment="1">
      <alignment horizontal="center" vertical="top"/>
    </xf>
    <xf numFmtId="3" fontId="5" fillId="9" borderId="0" xfId="0" applyNumberFormat="1" applyFont="1" applyFill="1" applyBorder="1" applyAlignment="1">
      <alignment horizontal="center" vertical="top" wrapText="1"/>
    </xf>
    <xf numFmtId="17" fontId="5" fillId="9" borderId="0" xfId="2" applyNumberFormat="1" applyFont="1" applyFill="1" applyBorder="1" applyAlignment="1">
      <alignment horizontal="center" vertical="top" wrapText="1"/>
    </xf>
    <xf numFmtId="167" fontId="5" fillId="9" borderId="0" xfId="4" applyNumberFormat="1" applyFont="1" applyFill="1" applyBorder="1" applyAlignment="1">
      <alignment horizontal="right" vertical="top" wrapText="1"/>
    </xf>
    <xf numFmtId="167" fontId="5" fillId="9" borderId="6" xfId="4" applyNumberFormat="1" applyFont="1" applyFill="1" applyBorder="1" applyAlignment="1">
      <alignment horizontal="right" vertical="top" wrapText="1"/>
    </xf>
    <xf numFmtId="167" fontId="5" fillId="9" borderId="8" xfId="4" applyNumberFormat="1" applyFont="1" applyFill="1" applyBorder="1" applyAlignment="1">
      <alignment horizontal="center" vertical="top"/>
    </xf>
    <xf numFmtId="167" fontId="6" fillId="9" borderId="0" xfId="4" applyNumberFormat="1" applyFont="1" applyFill="1" applyBorder="1" applyAlignment="1">
      <alignment horizontal="center" vertical="top"/>
    </xf>
    <xf numFmtId="167" fontId="5" fillId="9" borderId="0" xfId="4" applyNumberFormat="1" applyFont="1" applyFill="1" applyBorder="1" applyAlignment="1">
      <alignment horizontal="center" vertical="top"/>
    </xf>
    <xf numFmtId="167" fontId="5" fillId="9" borderId="6" xfId="4" applyNumberFormat="1" applyFont="1" applyFill="1" applyBorder="1" applyAlignment="1">
      <alignment horizontal="center" vertical="top"/>
    </xf>
    <xf numFmtId="0" fontId="6" fillId="9" borderId="8" xfId="0" quotePrefix="1" applyFont="1" applyFill="1" applyBorder="1" applyAlignment="1">
      <alignment horizontal="left" vertical="top" wrapText="1"/>
    </xf>
    <xf numFmtId="167" fontId="5" fillId="9" borderId="14" xfId="4" quotePrefix="1" applyNumberFormat="1" applyFont="1" applyFill="1" applyBorder="1" applyAlignment="1">
      <alignment horizontal="right" vertical="top" wrapText="1"/>
    </xf>
    <xf numFmtId="0" fontId="14" fillId="9" borderId="0" xfId="3" applyFont="1" applyFill="1" applyBorder="1" applyAlignment="1">
      <alignment horizontal="center" vertical="top"/>
    </xf>
    <xf numFmtId="0" fontId="5" fillId="9" borderId="0" xfId="16" applyFont="1" applyFill="1" applyBorder="1" applyAlignment="1">
      <alignment horizontal="center" vertical="top" wrapText="1"/>
    </xf>
    <xf numFmtId="17" fontId="5" fillId="9" borderId="0" xfId="3" applyNumberFormat="1" applyFont="1" applyFill="1" applyBorder="1" applyAlignment="1">
      <alignment horizontal="center" vertical="top" wrapText="1"/>
    </xf>
    <xf numFmtId="167" fontId="6" fillId="9" borderId="0" xfId="4" applyNumberFormat="1" applyFont="1" applyFill="1" applyBorder="1" applyAlignment="1">
      <alignment horizontal="right" vertical="top" wrapText="1"/>
    </xf>
    <xf numFmtId="167" fontId="6" fillId="9" borderId="8" xfId="4" applyNumberFormat="1" applyFont="1" applyFill="1" applyBorder="1" applyAlignment="1">
      <alignment horizontal="center" vertical="top"/>
    </xf>
    <xf numFmtId="167" fontId="6" fillId="9" borderId="6" xfId="4" applyNumberFormat="1" applyFont="1" applyFill="1" applyBorder="1" applyAlignment="1">
      <alignment horizontal="right" vertical="top" wrapText="1"/>
    </xf>
    <xf numFmtId="167" fontId="5" fillId="9" borderId="14" xfId="4" applyNumberFormat="1" applyFont="1" applyFill="1" applyBorder="1" applyAlignment="1">
      <alignment horizontal="right" vertical="top" wrapText="1"/>
    </xf>
    <xf numFmtId="0" fontId="5" fillId="9" borderId="0" xfId="3" applyFont="1" applyFill="1" applyBorder="1" applyAlignment="1">
      <alignment horizontal="center" vertical="top" wrapText="1"/>
    </xf>
    <xf numFmtId="17" fontId="6" fillId="9" borderId="0" xfId="3" applyNumberFormat="1" applyFont="1" applyFill="1" applyBorder="1" applyAlignment="1">
      <alignment horizontal="center" vertical="top" wrapText="1"/>
    </xf>
    <xf numFmtId="3" fontId="5" fillId="9" borderId="0" xfId="3" applyNumberFormat="1" applyFont="1" applyFill="1" applyBorder="1" applyAlignment="1">
      <alignment horizontal="right" vertical="top" wrapText="1"/>
    </xf>
    <xf numFmtId="3" fontId="5" fillId="9" borderId="6" xfId="3" applyNumberFormat="1" applyFont="1" applyFill="1" applyBorder="1" applyAlignment="1">
      <alignment horizontal="right" vertical="top" wrapText="1"/>
    </xf>
    <xf numFmtId="0" fontId="11" fillId="9" borderId="8" xfId="0" applyFont="1" applyFill="1" applyBorder="1" applyAlignment="1">
      <alignment vertical="top" wrapText="1"/>
    </xf>
    <xf numFmtId="0" fontId="6" fillId="9" borderId="0" xfId="3" applyFont="1" applyFill="1" applyBorder="1" applyAlignment="1">
      <alignment horizontal="center" vertical="top" wrapText="1"/>
    </xf>
    <xf numFmtId="3" fontId="6" fillId="9" borderId="0" xfId="3" applyNumberFormat="1" applyFont="1" applyFill="1" applyBorder="1" applyAlignment="1">
      <alignment horizontal="right" vertical="top" wrapText="1"/>
    </xf>
    <xf numFmtId="167" fontId="6" fillId="9" borderId="6" xfId="4" applyNumberFormat="1" applyFont="1" applyFill="1" applyBorder="1" applyAlignment="1">
      <alignment horizontal="center" vertical="top"/>
    </xf>
    <xf numFmtId="0" fontId="6" fillId="9" borderId="7" xfId="0" applyFont="1" applyFill="1" applyBorder="1" applyAlignment="1">
      <alignment vertical="top" wrapText="1"/>
    </xf>
    <xf numFmtId="167" fontId="5" fillId="9" borderId="15" xfId="4" applyNumberFormat="1" applyFont="1" applyFill="1" applyBorder="1" applyAlignment="1">
      <alignment horizontal="right" vertical="top" wrapText="1"/>
    </xf>
    <xf numFmtId="0" fontId="5" fillId="9" borderId="1" xfId="0" applyFont="1" applyFill="1" applyBorder="1" applyAlignment="1">
      <alignment horizontal="center" vertical="top" wrapText="1"/>
    </xf>
    <xf numFmtId="3" fontId="5" fillId="9" borderId="1" xfId="0" applyNumberFormat="1" applyFont="1" applyFill="1" applyBorder="1" applyAlignment="1">
      <alignment horizontal="center" vertical="top" wrapText="1"/>
    </xf>
    <xf numFmtId="17" fontId="5" fillId="9" borderId="1" xfId="3" applyNumberFormat="1" applyFont="1" applyFill="1" applyBorder="1" applyAlignment="1">
      <alignment horizontal="center" vertical="top" wrapText="1"/>
    </xf>
    <xf numFmtId="167" fontId="5" fillId="9" borderId="1" xfId="4" applyNumberFormat="1" applyFont="1" applyFill="1" applyBorder="1" applyAlignment="1">
      <alignment horizontal="right" vertical="top" wrapText="1"/>
    </xf>
    <xf numFmtId="167" fontId="5" fillId="9" borderId="11" xfId="4" applyNumberFormat="1" applyFont="1" applyFill="1" applyBorder="1" applyAlignment="1">
      <alignment horizontal="right" vertical="top" wrapText="1"/>
    </xf>
    <xf numFmtId="167" fontId="5" fillId="9" borderId="7" xfId="4" applyNumberFormat="1" applyFont="1" applyFill="1" applyBorder="1" applyAlignment="1">
      <alignment horizontal="center" vertical="top"/>
    </xf>
    <xf numFmtId="167" fontId="6" fillId="9" borderId="1" xfId="4" applyNumberFormat="1" applyFont="1" applyFill="1" applyBorder="1" applyAlignment="1">
      <alignment horizontal="center" vertical="top"/>
    </xf>
    <xf numFmtId="167" fontId="5" fillId="9" borderId="1" xfId="4" applyNumberFormat="1" applyFont="1" applyFill="1" applyBorder="1" applyAlignment="1">
      <alignment horizontal="center" vertical="top"/>
    </xf>
    <xf numFmtId="167" fontId="5" fillId="9" borderId="11" xfId="4" applyNumberFormat="1" applyFont="1" applyFill="1" applyBorder="1" applyAlignment="1">
      <alignment horizontal="center" vertical="top"/>
    </xf>
    <xf numFmtId="0" fontId="6" fillId="9" borderId="8" xfId="3" applyFont="1" applyFill="1" applyBorder="1" applyAlignment="1">
      <alignment vertical="top" wrapText="1"/>
    </xf>
    <xf numFmtId="0" fontId="5" fillId="9" borderId="0" xfId="3" applyFont="1" applyFill="1" applyBorder="1" applyAlignment="1">
      <alignment horizontal="center" vertical="top"/>
    </xf>
    <xf numFmtId="1" fontId="5" fillId="9" borderId="0" xfId="3" applyNumberFormat="1" applyFont="1" applyFill="1" applyBorder="1" applyAlignment="1">
      <alignment horizontal="center" vertical="top"/>
    </xf>
    <xf numFmtId="3" fontId="5" fillId="9" borderId="0" xfId="3" applyNumberFormat="1" applyFont="1" applyFill="1" applyBorder="1" applyAlignment="1">
      <alignment horizontal="center" vertical="top"/>
    </xf>
    <xf numFmtId="3" fontId="6" fillId="9" borderId="6" xfId="3" applyNumberFormat="1" applyFont="1" applyFill="1" applyBorder="1" applyAlignment="1">
      <alignment horizontal="right" vertical="top" wrapText="1"/>
    </xf>
    <xf numFmtId="0" fontId="5" fillId="9" borderId="7" xfId="0" applyFont="1" applyFill="1" applyBorder="1"/>
    <xf numFmtId="0" fontId="5" fillId="9" borderId="15" xfId="0" applyFont="1" applyFill="1" applyBorder="1"/>
    <xf numFmtId="0" fontId="5" fillId="9" borderId="1" xfId="0" applyFont="1" applyFill="1" applyBorder="1"/>
    <xf numFmtId="0" fontId="6" fillId="9" borderId="1" xfId="3" applyFont="1" applyFill="1" applyBorder="1" applyAlignment="1">
      <alignment horizontal="center" vertical="top" wrapText="1"/>
    </xf>
    <xf numFmtId="17" fontId="6" fillId="9" borderId="1" xfId="3" applyNumberFormat="1" applyFont="1" applyFill="1" applyBorder="1" applyAlignment="1">
      <alignment horizontal="center" vertical="top" wrapText="1"/>
    </xf>
    <xf numFmtId="3" fontId="6" fillId="9" borderId="1" xfId="3" applyNumberFormat="1" applyFont="1" applyFill="1" applyBorder="1" applyAlignment="1">
      <alignment horizontal="right" vertical="top" wrapText="1"/>
    </xf>
    <xf numFmtId="3" fontId="6" fillId="9" borderId="11" xfId="3" applyNumberFormat="1" applyFont="1" applyFill="1" applyBorder="1" applyAlignment="1">
      <alignment horizontal="right" vertical="top" wrapText="1"/>
    </xf>
  </cellXfs>
  <cellStyles count="72">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5"/>
    <cellStyle name="Comma 3 3 3" xfId="56"/>
    <cellStyle name="Comma 4" xfId="7"/>
    <cellStyle name="Comma 4 2" xfId="15"/>
    <cellStyle name="Comma 5" xfId="29"/>
    <cellStyle name="Comma 5 2" xfId="44"/>
    <cellStyle name="Comma 5 2 2" xfId="64"/>
    <cellStyle name="Comma 5 3" xfId="55"/>
    <cellStyle name="Comma 6" xfId="41"/>
    <cellStyle name="Comma 6 2" xfId="50"/>
    <cellStyle name="Comma 6 2 2" xfId="70"/>
    <cellStyle name="Comma 6 3" xfId="62"/>
    <cellStyle name="Currency 2" xfId="30"/>
    <cellStyle name="Header1" xfId="28"/>
    <cellStyle name="Header2" xfId="26"/>
    <cellStyle name="no dec" xfId="32"/>
    <cellStyle name="Normal" xfId="0" builtinId="0"/>
    <cellStyle name="Normal - Style1" xfId="27"/>
    <cellStyle name="Normal 10" xfId="42"/>
    <cellStyle name="Normal 11" xfId="51"/>
    <cellStyle name="Normal 12" xfId="58"/>
    <cellStyle name="Normal 13" xfId="71"/>
    <cellStyle name="Normal 14" xfId="38"/>
    <cellStyle name="Normal 15" xfId="54"/>
    <cellStyle name="Normal 16" xfId="37"/>
    <cellStyle name="Normal 17" xfId="52"/>
    <cellStyle name="Normal 2" xfId="8"/>
    <cellStyle name="Normal 2 2" xfId="16"/>
    <cellStyle name="Normal 2 3" xfId="22"/>
    <cellStyle name="Normal 3" xfId="9"/>
    <cellStyle name="Normal 3 2" xfId="17"/>
    <cellStyle name="Normal 3 3" xfId="33"/>
    <cellStyle name="Normal 3 3 2" xfId="46"/>
    <cellStyle name="Normal 3 3 2 2" xfId="66"/>
    <cellStyle name="Normal 3 3 3" xfId="57"/>
    <cellStyle name="Normal 4" xfId="12"/>
    <cellStyle name="Normal 5" xfId="21"/>
    <cellStyle name="Normal 5 2" xfId="43"/>
    <cellStyle name="Normal 5 2 2" xfId="63"/>
    <cellStyle name="Normal 5 3" xfId="53"/>
    <cellStyle name="Normal 6" xfId="35"/>
    <cellStyle name="Normal 6 2" xfId="47"/>
    <cellStyle name="Normal 6 2 2" xfId="67"/>
    <cellStyle name="Normal 6 3" xfId="59"/>
    <cellStyle name="Normal 7" xfId="36"/>
    <cellStyle name="Normal 7 2" xfId="48"/>
    <cellStyle name="Normal 7 2 2" xfId="68"/>
    <cellStyle name="Normal 7 3" xfId="60"/>
    <cellStyle name="Normal 8" xfId="40"/>
    <cellStyle name="Normal 8 2" xfId="49"/>
    <cellStyle name="Normal 8 2 2" xfId="69"/>
    <cellStyle name="Normal 8 3" xfId="61"/>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FFFF99"/>
      <color rgb="FFFFCCFF"/>
      <color rgb="FFCCFFCC"/>
      <color rgb="FFDBE5F1"/>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February 18,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30</v>
      </c>
      <c r="B11" s="7"/>
      <c r="C11" s="111"/>
      <c r="D11" s="7"/>
      <c r="E11" s="7"/>
      <c r="F11" s="7"/>
      <c r="G11" s="7"/>
      <c r="H11" s="7"/>
      <c r="I11" s="7"/>
      <c r="J11" s="7"/>
      <c r="K11" s="7"/>
      <c r="L11" s="7"/>
    </row>
    <row r="12" spans="1:17" ht="409.5" customHeight="1" x14ac:dyDescent="0.35">
      <c r="A12" s="7"/>
      <c r="B12" s="7"/>
      <c r="C12" s="41"/>
      <c r="D12" s="7"/>
      <c r="E12" s="7"/>
      <c r="F12" s="7"/>
      <c r="G12" s="7"/>
      <c r="H12" s="7"/>
      <c r="I12" s="7"/>
      <c r="J12" s="7"/>
      <c r="K12" s="7"/>
      <c r="L12" s="7"/>
      <c r="Q12" s="39"/>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U54"/>
  <sheetViews>
    <sheetView tabSelected="1" view="pageBreakPreview" zoomScale="70" zoomScaleNormal="100" zoomScaleSheetLayoutView="70"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38.28515625" style="7" customWidth="1"/>
    <col min="2" max="2" width="14" style="7" customWidth="1"/>
    <col min="3" max="3" width="11.85546875" style="7" customWidth="1"/>
    <col min="4" max="4" width="13" style="7" customWidth="1"/>
    <col min="5" max="5" width="14.5703125" style="7" customWidth="1"/>
    <col min="6" max="6" width="12.140625" style="7" customWidth="1"/>
    <col min="7" max="7" width="12" style="7" customWidth="1"/>
    <col min="8" max="8" width="18.7109375" style="7" customWidth="1"/>
    <col min="9" max="9" width="17" style="7" customWidth="1"/>
    <col min="10" max="10" width="12.5703125" style="7" customWidth="1"/>
    <col min="11" max="11" width="12" style="7" customWidth="1"/>
    <col min="12" max="12" width="13.7109375" style="7" customWidth="1"/>
    <col min="13" max="13" width="14.5703125" style="7" customWidth="1"/>
    <col min="14" max="14" width="2.7109375" style="36" customWidth="1"/>
    <col min="15" max="18" width="11.7109375" style="7" customWidth="1"/>
    <col min="19" max="19" width="21" style="244" customWidth="1"/>
    <col min="20" max="21" width="9.140625" style="244"/>
    <col min="22" max="16384" width="9.140625" style="7"/>
  </cols>
  <sheetData>
    <row r="1" spans="1:21" ht="41.25" customHeight="1" x14ac:dyDescent="0.2">
      <c r="C1" s="41"/>
      <c r="E1" s="45"/>
      <c r="F1" s="45"/>
      <c r="H1" s="42"/>
    </row>
    <row r="2" spans="1:21" ht="13.5" customHeight="1" x14ac:dyDescent="0.2">
      <c r="A2" s="43" t="s">
        <v>132</v>
      </c>
      <c r="B2" s="206"/>
      <c r="C2" s="205"/>
      <c r="K2" s="46"/>
      <c r="L2" s="46"/>
    </row>
    <row r="3" spans="1:21" ht="16.5" customHeight="1" x14ac:dyDescent="0.2">
      <c r="A3" s="314" t="s">
        <v>100</v>
      </c>
      <c r="B3" s="314"/>
      <c r="C3" s="315"/>
      <c r="D3" s="315"/>
      <c r="E3" s="315"/>
      <c r="F3" s="315"/>
      <c r="G3" s="315"/>
      <c r="H3" s="315"/>
      <c r="I3" s="315"/>
      <c r="J3" s="315"/>
      <c r="K3" s="315"/>
      <c r="L3" s="315"/>
      <c r="M3" s="315"/>
      <c r="N3" s="258"/>
    </row>
    <row r="4" spans="1:21" x14ac:dyDescent="0.2">
      <c r="A4" s="316" t="s">
        <v>54</v>
      </c>
      <c r="B4" s="316"/>
      <c r="C4" s="316"/>
      <c r="D4" s="316"/>
      <c r="E4" s="316"/>
      <c r="F4" s="316"/>
      <c r="G4" s="316"/>
      <c r="H4" s="316"/>
      <c r="I4" s="316"/>
      <c r="J4" s="316"/>
      <c r="K4" s="316"/>
      <c r="L4" s="316"/>
      <c r="M4" s="316"/>
      <c r="N4" s="258"/>
    </row>
    <row r="5" spans="1:21" x14ac:dyDescent="0.2">
      <c r="A5" s="27"/>
      <c r="B5" s="27"/>
      <c r="C5" s="47"/>
      <c r="D5" s="47"/>
      <c r="E5" s="47"/>
      <c r="F5" s="47"/>
      <c r="G5" s="47"/>
      <c r="H5" s="47"/>
      <c r="I5" s="47"/>
      <c r="L5" s="4"/>
      <c r="M5" s="4"/>
      <c r="N5" s="4"/>
    </row>
    <row r="6" spans="1:21" s="36" customFormat="1" ht="15.75" x14ac:dyDescent="0.25">
      <c r="A6" s="60"/>
      <c r="B6" s="89"/>
      <c r="C6" s="143"/>
      <c r="D6" s="62"/>
      <c r="E6" s="63"/>
      <c r="F6" s="64"/>
      <c r="G6" s="64"/>
      <c r="H6" s="65"/>
      <c r="I6" s="65"/>
      <c r="J6" s="64"/>
      <c r="K6" s="64"/>
      <c r="L6" s="64" t="s">
        <v>52</v>
      </c>
      <c r="M6" s="179" t="s">
        <v>52</v>
      </c>
      <c r="N6" s="184"/>
      <c r="O6" s="308" t="s">
        <v>112</v>
      </c>
      <c r="P6" s="309"/>
      <c r="Q6" s="309"/>
      <c r="R6" s="310"/>
      <c r="S6" s="245"/>
      <c r="T6" s="245"/>
      <c r="U6" s="245"/>
    </row>
    <row r="7" spans="1:21" s="36" customFormat="1" ht="15.75" x14ac:dyDescent="0.25">
      <c r="A7" s="298"/>
      <c r="B7" s="299"/>
      <c r="C7" s="300"/>
      <c r="D7" s="301"/>
      <c r="E7" s="303" t="s">
        <v>80</v>
      </c>
      <c r="F7" s="67" t="s">
        <v>9</v>
      </c>
      <c r="G7" s="67" t="s">
        <v>76</v>
      </c>
      <c r="H7" s="66"/>
      <c r="I7" s="66"/>
      <c r="J7" s="64" t="s">
        <v>39</v>
      </c>
      <c r="K7" s="64" t="s">
        <v>39</v>
      </c>
      <c r="L7" s="67" t="s">
        <v>126</v>
      </c>
      <c r="M7" s="302" t="s">
        <v>128</v>
      </c>
      <c r="N7" s="184"/>
      <c r="O7" s="295"/>
      <c r="P7" s="296"/>
      <c r="Q7" s="296"/>
      <c r="R7" s="297"/>
      <c r="S7" s="245"/>
      <c r="T7" s="245"/>
      <c r="U7" s="245"/>
    </row>
    <row r="8" spans="1:21" s="36" customFormat="1" ht="15" x14ac:dyDescent="0.2">
      <c r="A8" s="61"/>
      <c r="B8" s="293" t="s">
        <v>84</v>
      </c>
      <c r="C8" s="294" t="s">
        <v>33</v>
      </c>
      <c r="D8" s="67" t="s">
        <v>77</v>
      </c>
      <c r="E8" s="67" t="s">
        <v>38</v>
      </c>
      <c r="F8" s="67" t="s">
        <v>11</v>
      </c>
      <c r="G8" s="67" t="s">
        <v>11</v>
      </c>
      <c r="H8" s="66"/>
      <c r="I8" s="66"/>
      <c r="J8" s="67" t="s">
        <v>78</v>
      </c>
      <c r="K8" s="67" t="s">
        <v>82</v>
      </c>
      <c r="L8" s="72" t="s">
        <v>127</v>
      </c>
      <c r="M8" s="180" t="s">
        <v>129</v>
      </c>
      <c r="N8" s="175"/>
      <c r="O8" s="311">
        <v>2014</v>
      </c>
      <c r="P8" s="312"/>
      <c r="Q8" s="312"/>
      <c r="R8" s="313"/>
      <c r="S8" s="245"/>
      <c r="T8" s="245"/>
      <c r="U8" s="245"/>
    </row>
    <row r="9" spans="1:21" s="36" customFormat="1" ht="15.75" customHeight="1" x14ac:dyDescent="0.2">
      <c r="A9" s="71" t="s">
        <v>8</v>
      </c>
      <c r="B9" s="90" t="s">
        <v>85</v>
      </c>
      <c r="C9" s="144" t="s">
        <v>34</v>
      </c>
      <c r="D9" s="145" t="s">
        <v>79</v>
      </c>
      <c r="E9" s="68" t="s">
        <v>12</v>
      </c>
      <c r="F9" s="69" t="s">
        <v>40</v>
      </c>
      <c r="G9" s="69" t="s">
        <v>40</v>
      </c>
      <c r="H9" s="70" t="s">
        <v>16</v>
      </c>
      <c r="I9" s="70" t="s">
        <v>46</v>
      </c>
      <c r="J9" s="68" t="s">
        <v>81</v>
      </c>
      <c r="K9" s="68" t="s">
        <v>83</v>
      </c>
      <c r="L9" s="69" t="s">
        <v>41</v>
      </c>
      <c r="M9" s="181" t="s">
        <v>41</v>
      </c>
      <c r="N9" s="307"/>
      <c r="O9" s="138" t="s">
        <v>102</v>
      </c>
      <c r="P9" s="73" t="s">
        <v>103</v>
      </c>
      <c r="Q9" s="73" t="s">
        <v>104</v>
      </c>
      <c r="R9" s="74" t="s">
        <v>101</v>
      </c>
      <c r="S9" s="245"/>
      <c r="T9" s="245"/>
      <c r="U9" s="245"/>
    </row>
    <row r="10" spans="1:21" s="36" customFormat="1" ht="6" customHeight="1" x14ac:dyDescent="0.2">
      <c r="A10" s="121"/>
      <c r="B10" s="271"/>
      <c r="C10" s="223"/>
      <c r="D10" s="223"/>
      <c r="E10" s="223"/>
      <c r="F10" s="223"/>
      <c r="G10" s="223"/>
      <c r="H10" s="223"/>
      <c r="I10" s="223"/>
      <c r="J10" s="223"/>
      <c r="K10" s="223"/>
      <c r="L10" s="176"/>
      <c r="M10" s="193"/>
      <c r="N10" s="223"/>
      <c r="O10" s="202"/>
      <c r="P10" s="34"/>
      <c r="Q10" s="34"/>
      <c r="R10" s="241"/>
      <c r="S10" s="245"/>
      <c r="T10" s="245"/>
      <c r="U10" s="245"/>
    </row>
    <row r="11" spans="1:21" s="5" customFormat="1" ht="15" x14ac:dyDescent="0.2">
      <c r="A11" s="151" t="s">
        <v>86</v>
      </c>
      <c r="B11" s="152"/>
      <c r="C11" s="153"/>
      <c r="D11" s="154"/>
      <c r="E11" s="155"/>
      <c r="F11" s="154"/>
      <c r="G11" s="154"/>
      <c r="H11" s="154"/>
      <c r="I11" s="154"/>
      <c r="J11" s="190"/>
      <c r="K11" s="190"/>
      <c r="L11" s="194"/>
      <c r="M11" s="195"/>
      <c r="N11" s="185"/>
      <c r="O11" s="156"/>
      <c r="P11" s="77"/>
      <c r="Q11" s="77"/>
      <c r="R11" s="85"/>
      <c r="S11" s="246"/>
      <c r="T11" s="246"/>
      <c r="U11" s="246"/>
    </row>
    <row r="12" spans="1:21" s="5" customFormat="1" ht="6" customHeight="1" x14ac:dyDescent="0.2">
      <c r="A12" s="163"/>
      <c r="B12" s="164"/>
      <c r="C12" s="165"/>
      <c r="D12" s="165"/>
      <c r="E12" s="165"/>
      <c r="F12" s="165"/>
      <c r="G12" s="165"/>
      <c r="H12" s="165"/>
      <c r="I12" s="165"/>
      <c r="J12" s="191"/>
      <c r="K12" s="191"/>
      <c r="L12" s="196"/>
      <c r="M12" s="197"/>
      <c r="N12" s="186"/>
      <c r="O12" s="211"/>
      <c r="P12" s="208"/>
      <c r="Q12" s="208"/>
      <c r="R12" s="212"/>
      <c r="S12" s="246"/>
      <c r="T12" s="246"/>
      <c r="U12" s="246"/>
    </row>
    <row r="13" spans="1:21" s="174" customFormat="1" ht="14.25" customHeight="1" x14ac:dyDescent="0.2">
      <c r="A13" s="327" t="s">
        <v>87</v>
      </c>
      <c r="B13" s="328" t="s">
        <v>118</v>
      </c>
      <c r="C13" s="329" t="s">
        <v>31</v>
      </c>
      <c r="D13" s="330" t="s">
        <v>37</v>
      </c>
      <c r="E13" s="329">
        <v>2009</v>
      </c>
      <c r="F13" s="331">
        <v>12000</v>
      </c>
      <c r="G13" s="331">
        <v>40000</v>
      </c>
      <c r="H13" s="329" t="s">
        <v>17</v>
      </c>
      <c r="I13" s="329" t="s">
        <v>36</v>
      </c>
      <c r="J13" s="332">
        <v>40057</v>
      </c>
      <c r="K13" s="332">
        <v>41883</v>
      </c>
      <c r="L13" s="333">
        <v>571000</v>
      </c>
      <c r="M13" s="334">
        <v>503000</v>
      </c>
      <c r="N13" s="333"/>
      <c r="O13" s="335">
        <v>0</v>
      </c>
      <c r="P13" s="336">
        <v>21</v>
      </c>
      <c r="Q13" s="337">
        <v>0</v>
      </c>
      <c r="R13" s="338">
        <v>0</v>
      </c>
      <c r="S13" s="247"/>
      <c r="T13" s="247"/>
      <c r="U13" s="247"/>
    </row>
    <row r="14" spans="1:21" s="174" customFormat="1" ht="14.25" customHeight="1" x14ac:dyDescent="0.2">
      <c r="A14" s="327"/>
      <c r="B14" s="328" t="s">
        <v>117</v>
      </c>
      <c r="C14" s="329"/>
      <c r="D14" s="330"/>
      <c r="E14" s="329"/>
      <c r="F14" s="331"/>
      <c r="G14" s="331"/>
      <c r="H14" s="329" t="s">
        <v>17</v>
      </c>
      <c r="I14" s="329" t="s">
        <v>36</v>
      </c>
      <c r="J14" s="332">
        <v>41883</v>
      </c>
      <c r="K14" s="332">
        <v>43313</v>
      </c>
      <c r="L14" s="333">
        <v>590000</v>
      </c>
      <c r="M14" s="334">
        <f>+L13</f>
        <v>571000</v>
      </c>
      <c r="N14" s="333"/>
      <c r="O14" s="335"/>
      <c r="P14" s="337"/>
      <c r="Q14" s="337"/>
      <c r="R14" s="338"/>
      <c r="S14" s="247"/>
      <c r="T14" s="247"/>
      <c r="U14" s="247"/>
    </row>
    <row r="15" spans="1:21" s="218" customFormat="1" ht="14.25" customHeight="1" x14ac:dyDescent="0.2">
      <c r="A15" s="273" t="s">
        <v>88</v>
      </c>
      <c r="B15" s="149">
        <v>-6</v>
      </c>
      <c r="C15" s="48" t="s">
        <v>31</v>
      </c>
      <c r="D15" s="122" t="s">
        <v>37</v>
      </c>
      <c r="E15" s="48">
        <v>2000</v>
      </c>
      <c r="F15" s="49">
        <v>10000</v>
      </c>
      <c r="G15" s="49">
        <v>35000</v>
      </c>
      <c r="H15" s="48" t="s">
        <v>17</v>
      </c>
      <c r="I15" s="48" t="s">
        <v>35</v>
      </c>
      <c r="J15" s="242">
        <v>41091</v>
      </c>
      <c r="K15" s="260">
        <v>41852</v>
      </c>
      <c r="L15" s="259">
        <v>557000</v>
      </c>
      <c r="M15" s="59">
        <v>546000</v>
      </c>
      <c r="N15" s="54"/>
      <c r="O15" s="202">
        <v>0</v>
      </c>
      <c r="P15" s="37">
        <v>0</v>
      </c>
      <c r="Q15" s="37">
        <v>33</v>
      </c>
      <c r="R15" s="167">
        <v>51</v>
      </c>
      <c r="S15" s="248"/>
      <c r="T15" s="248"/>
      <c r="U15" s="248"/>
    </row>
    <row r="16" spans="1:21" s="173" customFormat="1" x14ac:dyDescent="0.2">
      <c r="A16" s="339" t="s">
        <v>89</v>
      </c>
      <c r="B16" s="340" t="s">
        <v>62</v>
      </c>
      <c r="C16" s="329" t="s">
        <v>31</v>
      </c>
      <c r="D16" s="341" t="s">
        <v>37</v>
      </c>
      <c r="E16" s="329">
        <v>1999</v>
      </c>
      <c r="F16" s="331">
        <v>10000</v>
      </c>
      <c r="G16" s="331">
        <v>30000</v>
      </c>
      <c r="H16" s="342" t="s">
        <v>24</v>
      </c>
      <c r="I16" s="342" t="s">
        <v>113</v>
      </c>
      <c r="J16" s="343">
        <v>41671</v>
      </c>
      <c r="K16" s="343">
        <v>42050</v>
      </c>
      <c r="L16" s="344">
        <v>597000</v>
      </c>
      <c r="M16" s="334">
        <v>570000</v>
      </c>
      <c r="N16" s="333"/>
      <c r="O16" s="345">
        <v>72</v>
      </c>
      <c r="P16" s="336">
        <v>0</v>
      </c>
      <c r="Q16" s="337">
        <v>0</v>
      </c>
      <c r="R16" s="338">
        <v>0</v>
      </c>
      <c r="S16" s="249"/>
      <c r="T16" s="249"/>
      <c r="U16" s="249"/>
    </row>
    <row r="17" spans="1:21" s="173" customFormat="1" x14ac:dyDescent="0.2">
      <c r="A17" s="339"/>
      <c r="B17" s="340" t="s">
        <v>62</v>
      </c>
      <c r="C17" s="329"/>
      <c r="D17" s="341"/>
      <c r="E17" s="329"/>
      <c r="F17" s="331"/>
      <c r="G17" s="331"/>
      <c r="H17" s="342" t="s">
        <v>24</v>
      </c>
      <c r="I17" s="342" t="s">
        <v>113</v>
      </c>
      <c r="J17" s="343">
        <f>+K16</f>
        <v>42050</v>
      </c>
      <c r="K17" s="343">
        <v>42421</v>
      </c>
      <c r="L17" s="344">
        <v>608000</v>
      </c>
      <c r="M17" s="346">
        <f>+L16</f>
        <v>597000</v>
      </c>
      <c r="N17" s="333"/>
      <c r="O17" s="335"/>
      <c r="P17" s="337"/>
      <c r="Q17" s="337"/>
      <c r="R17" s="338"/>
      <c r="S17" s="249"/>
      <c r="T17" s="249"/>
      <c r="U17" s="249"/>
    </row>
    <row r="18" spans="1:21" s="36" customFormat="1" ht="14.25" customHeight="1" x14ac:dyDescent="0.2">
      <c r="A18" s="256" t="s">
        <v>90</v>
      </c>
      <c r="B18" s="219">
        <v>-6</v>
      </c>
      <c r="C18" s="140" t="s">
        <v>32</v>
      </c>
      <c r="D18" s="255" t="s">
        <v>37</v>
      </c>
      <c r="E18" s="140">
        <v>2005</v>
      </c>
      <c r="F18" s="141">
        <v>7500</v>
      </c>
      <c r="G18" s="141">
        <v>37500</v>
      </c>
      <c r="H18" s="140" t="s">
        <v>17</v>
      </c>
      <c r="I18" s="140" t="s">
        <v>28</v>
      </c>
      <c r="J18" s="210">
        <v>39753</v>
      </c>
      <c r="K18" s="264">
        <v>41726</v>
      </c>
      <c r="L18" s="119">
        <v>603000</v>
      </c>
      <c r="M18" s="220">
        <v>208000</v>
      </c>
      <c r="N18" s="54"/>
      <c r="O18" s="203">
        <v>0</v>
      </c>
      <c r="P18" s="254">
        <v>20</v>
      </c>
      <c r="Q18" s="305">
        <v>0</v>
      </c>
      <c r="R18" s="306">
        <v>0</v>
      </c>
      <c r="S18" s="245"/>
      <c r="T18" s="245"/>
      <c r="U18" s="245"/>
    </row>
    <row r="19" spans="1:21" ht="6" customHeight="1" x14ac:dyDescent="0.2">
      <c r="A19" s="129"/>
      <c r="B19" s="149"/>
      <c r="C19" s="124"/>
      <c r="D19" s="124"/>
      <c r="E19" s="125"/>
      <c r="F19" s="126"/>
      <c r="G19" s="126"/>
      <c r="H19" s="127"/>
      <c r="I19" s="123"/>
      <c r="J19" s="123"/>
      <c r="K19" s="123"/>
      <c r="L19" s="128"/>
      <c r="M19" s="266"/>
      <c r="N19" s="128"/>
      <c r="O19" s="201">
        <v>0</v>
      </c>
      <c r="P19" s="52">
        <v>0</v>
      </c>
      <c r="Q19" s="52">
        <v>0</v>
      </c>
      <c r="R19" s="130">
        <v>0</v>
      </c>
    </row>
    <row r="20" spans="1:21" ht="15" x14ac:dyDescent="0.2">
      <c r="A20" s="151" t="s">
        <v>109</v>
      </c>
      <c r="B20" s="157"/>
      <c r="C20" s="153"/>
      <c r="D20" s="154"/>
      <c r="E20" s="155"/>
      <c r="F20" s="154"/>
      <c r="G20" s="154"/>
      <c r="H20" s="154"/>
      <c r="I20" s="154"/>
      <c r="J20" s="190"/>
      <c r="K20" s="190"/>
      <c r="L20" s="194"/>
      <c r="M20" s="195"/>
      <c r="N20" s="185"/>
      <c r="O20" s="156"/>
      <c r="P20" s="77"/>
      <c r="Q20" s="77"/>
      <c r="R20" s="85"/>
    </row>
    <row r="21" spans="1:21" s="36" customFormat="1" ht="6" customHeight="1" x14ac:dyDescent="0.2">
      <c r="A21" s="129"/>
      <c r="B21" s="149"/>
      <c r="C21" s="124"/>
      <c r="D21" s="124"/>
      <c r="E21" s="125"/>
      <c r="F21" s="126"/>
      <c r="G21" s="126"/>
      <c r="H21" s="127"/>
      <c r="I21" s="123"/>
      <c r="J21" s="123"/>
      <c r="K21" s="123"/>
      <c r="L21" s="128"/>
      <c r="M21" s="182"/>
      <c r="N21" s="128"/>
      <c r="O21" s="201">
        <v>0</v>
      </c>
      <c r="P21" s="52">
        <v>0</v>
      </c>
      <c r="Q21" s="52">
        <v>0</v>
      </c>
      <c r="R21" s="130">
        <v>0</v>
      </c>
      <c r="S21" s="245"/>
      <c r="T21" s="245"/>
      <c r="U21" s="245"/>
    </row>
    <row r="22" spans="1:21" s="174" customFormat="1" ht="14.25" customHeight="1" x14ac:dyDescent="0.2">
      <c r="A22" s="327" t="s">
        <v>7</v>
      </c>
      <c r="B22" s="347"/>
      <c r="C22" s="329" t="s">
        <v>31</v>
      </c>
      <c r="D22" s="341" t="s">
        <v>37</v>
      </c>
      <c r="E22" s="329" t="s">
        <v>13</v>
      </c>
      <c r="F22" s="331">
        <v>7000</v>
      </c>
      <c r="G22" s="331">
        <v>25000</v>
      </c>
      <c r="H22" s="348" t="s">
        <v>23</v>
      </c>
      <c r="I22" s="343" t="s">
        <v>108</v>
      </c>
      <c r="J22" s="343">
        <v>41426</v>
      </c>
      <c r="K22" s="349">
        <v>41820</v>
      </c>
      <c r="L22" s="350">
        <v>500000</v>
      </c>
      <c r="M22" s="351">
        <v>490000</v>
      </c>
      <c r="N22" s="350"/>
      <c r="O22" s="335">
        <v>0</v>
      </c>
      <c r="P22" s="336">
        <v>0</v>
      </c>
      <c r="Q22" s="336">
        <v>10</v>
      </c>
      <c r="R22" s="338">
        <v>0</v>
      </c>
      <c r="S22" s="247"/>
      <c r="T22" s="247"/>
      <c r="U22" s="247"/>
    </row>
    <row r="23" spans="1:21" s="174" customFormat="1" ht="14.25" customHeight="1" x14ac:dyDescent="0.2">
      <c r="A23" s="352"/>
      <c r="B23" s="347"/>
      <c r="C23" s="329"/>
      <c r="D23" s="341"/>
      <c r="E23" s="329"/>
      <c r="F23" s="331"/>
      <c r="G23" s="331"/>
      <c r="H23" s="353" t="s">
        <v>130</v>
      </c>
      <c r="I23" s="349" t="s">
        <v>130</v>
      </c>
      <c r="J23" s="349">
        <v>41845</v>
      </c>
      <c r="K23" s="349">
        <v>41912</v>
      </c>
      <c r="L23" s="354">
        <v>400000</v>
      </c>
      <c r="M23" s="351">
        <v>500000</v>
      </c>
      <c r="N23" s="350"/>
      <c r="O23" s="335"/>
      <c r="P23" s="337"/>
      <c r="Q23" s="336"/>
      <c r="R23" s="338"/>
      <c r="S23" s="247"/>
      <c r="T23" s="247"/>
      <c r="U23" s="247"/>
    </row>
    <row r="24" spans="1:21" s="36" customFormat="1" ht="15" customHeight="1" x14ac:dyDescent="0.2">
      <c r="A24" s="265" t="s">
        <v>93</v>
      </c>
      <c r="B24" s="251">
        <v>-7</v>
      </c>
      <c r="C24" s="252" t="s">
        <v>32</v>
      </c>
      <c r="D24" s="252"/>
      <c r="E24" s="252" t="s">
        <v>29</v>
      </c>
      <c r="F24" s="253">
        <v>5000</v>
      </c>
      <c r="G24" s="253">
        <v>25000</v>
      </c>
      <c r="H24" s="253" t="s">
        <v>25</v>
      </c>
      <c r="I24" s="252" t="s">
        <v>26</v>
      </c>
      <c r="J24" s="210">
        <v>40787</v>
      </c>
      <c r="K24" s="210">
        <v>41671</v>
      </c>
      <c r="L24" s="261">
        <v>186000</v>
      </c>
      <c r="M24" s="220" t="s">
        <v>27</v>
      </c>
      <c r="N24" s="54"/>
      <c r="O24" s="304">
        <v>21</v>
      </c>
      <c r="P24" s="254">
        <v>24</v>
      </c>
      <c r="Q24" s="305">
        <v>0</v>
      </c>
      <c r="R24" s="306">
        <v>0</v>
      </c>
      <c r="S24" s="245"/>
      <c r="T24" s="245"/>
      <c r="U24" s="245"/>
    </row>
    <row r="25" spans="1:21" s="36" customFormat="1" ht="6" customHeight="1" x14ac:dyDescent="0.2">
      <c r="A25" s="267"/>
      <c r="B25" s="251"/>
      <c r="C25" s="142"/>
      <c r="D25" s="124"/>
      <c r="E25" s="125"/>
      <c r="F25" s="126"/>
      <c r="G25" s="126"/>
      <c r="H25" s="127"/>
      <c r="I25" s="123"/>
      <c r="J25" s="123"/>
      <c r="K25" s="123"/>
      <c r="L25" s="128"/>
      <c r="M25" s="182"/>
      <c r="N25" s="128"/>
      <c r="O25" s="221"/>
      <c r="P25" s="33"/>
      <c r="Q25" s="33"/>
      <c r="R25" s="222"/>
      <c r="S25" s="245"/>
      <c r="T25" s="245"/>
      <c r="U25" s="245"/>
    </row>
    <row r="26" spans="1:21" s="36" customFormat="1" ht="14.25" customHeight="1" x14ac:dyDescent="0.2">
      <c r="A26" s="151" t="s">
        <v>121</v>
      </c>
      <c r="B26" s="157"/>
      <c r="C26" s="153"/>
      <c r="D26" s="154"/>
      <c r="E26" s="155"/>
      <c r="F26" s="154"/>
      <c r="G26" s="154"/>
      <c r="H26" s="154"/>
      <c r="I26" s="154"/>
      <c r="J26" s="190"/>
      <c r="K26" s="190"/>
      <c r="L26" s="194"/>
      <c r="M26" s="195"/>
      <c r="N26" s="185"/>
      <c r="O26" s="156"/>
      <c r="P26" s="77"/>
      <c r="Q26" s="77"/>
      <c r="R26" s="85"/>
      <c r="S26" s="245"/>
      <c r="T26" s="245"/>
      <c r="U26" s="245"/>
    </row>
    <row r="27" spans="1:21" s="36" customFormat="1" ht="6" customHeight="1" x14ac:dyDescent="0.2">
      <c r="A27" s="129"/>
      <c r="B27" s="149"/>
      <c r="C27" s="124"/>
      <c r="D27" s="124"/>
      <c r="E27" s="125"/>
      <c r="F27" s="126"/>
      <c r="G27" s="126"/>
      <c r="H27" s="127"/>
      <c r="I27" s="123"/>
      <c r="J27" s="123"/>
      <c r="K27" s="123"/>
      <c r="L27" s="128"/>
      <c r="M27" s="182"/>
      <c r="N27" s="128"/>
      <c r="O27" s="201">
        <v>0</v>
      </c>
      <c r="P27" s="52">
        <v>0</v>
      </c>
      <c r="Q27" s="52">
        <v>0</v>
      </c>
      <c r="R27" s="130">
        <v>0</v>
      </c>
      <c r="S27" s="245"/>
      <c r="T27" s="245"/>
      <c r="U27" s="245"/>
    </row>
    <row r="28" spans="1:21" s="174" customFormat="1" ht="14.25" customHeight="1" x14ac:dyDescent="0.2">
      <c r="A28" s="339" t="s">
        <v>96</v>
      </c>
      <c r="B28" s="340" t="s">
        <v>91</v>
      </c>
      <c r="C28" s="329" t="s">
        <v>32</v>
      </c>
      <c r="D28" s="329"/>
      <c r="E28" s="329">
        <v>1991</v>
      </c>
      <c r="F28" s="331">
        <v>3000</v>
      </c>
      <c r="G28" s="331">
        <v>25000</v>
      </c>
      <c r="H28" s="329" t="s">
        <v>19</v>
      </c>
      <c r="I28" s="329" t="s">
        <v>20</v>
      </c>
      <c r="J28" s="332">
        <v>40360</v>
      </c>
      <c r="K28" s="332">
        <v>42552</v>
      </c>
      <c r="L28" s="344">
        <v>263000</v>
      </c>
      <c r="M28" s="334">
        <v>116000</v>
      </c>
      <c r="N28" s="333"/>
      <c r="O28" s="335">
        <v>0</v>
      </c>
      <c r="P28" s="336">
        <v>0</v>
      </c>
      <c r="Q28" s="337">
        <v>0</v>
      </c>
      <c r="R28" s="355">
        <v>0</v>
      </c>
      <c r="S28" s="247"/>
      <c r="T28" s="247"/>
      <c r="U28" s="247"/>
    </row>
    <row r="29" spans="1:21" s="218" customFormat="1" ht="14.25" customHeight="1" x14ac:dyDescent="0.2">
      <c r="A29" s="243" t="s">
        <v>97</v>
      </c>
      <c r="B29" s="149">
        <v>-7</v>
      </c>
      <c r="C29" s="48" t="s">
        <v>32</v>
      </c>
      <c r="D29" s="48"/>
      <c r="E29" s="48" t="s">
        <v>14</v>
      </c>
      <c r="F29" s="49">
        <v>1600</v>
      </c>
      <c r="G29" s="49">
        <v>25000</v>
      </c>
      <c r="H29" s="48" t="s">
        <v>18</v>
      </c>
      <c r="I29" s="48" t="s">
        <v>22</v>
      </c>
      <c r="J29" s="123">
        <v>41244</v>
      </c>
      <c r="K29" s="204">
        <v>41730</v>
      </c>
      <c r="L29" s="54">
        <v>399000</v>
      </c>
      <c r="M29" s="59">
        <v>398000</v>
      </c>
      <c r="N29" s="54"/>
      <c r="O29" s="202">
        <v>0</v>
      </c>
      <c r="P29" s="37">
        <v>83</v>
      </c>
      <c r="Q29" s="37">
        <v>37</v>
      </c>
      <c r="R29" s="241">
        <v>0</v>
      </c>
      <c r="S29" s="248"/>
      <c r="T29" s="248"/>
      <c r="U29" s="248"/>
    </row>
    <row r="30" spans="1:21" s="218" customFormat="1" ht="14.25" customHeight="1" x14ac:dyDescent="0.2">
      <c r="A30" s="243"/>
      <c r="B30" s="149">
        <v>-7</v>
      </c>
      <c r="C30" s="48"/>
      <c r="D30" s="48"/>
      <c r="E30" s="48"/>
      <c r="F30" s="49"/>
      <c r="G30" s="49"/>
      <c r="H30" s="48" t="s">
        <v>18</v>
      </c>
      <c r="I30" s="48" t="s">
        <v>22</v>
      </c>
      <c r="J30" s="204">
        <v>41821</v>
      </c>
      <c r="K30" s="204">
        <v>42186</v>
      </c>
      <c r="L30" s="54">
        <v>437000</v>
      </c>
      <c r="M30" s="59">
        <f>+L29</f>
        <v>399000</v>
      </c>
      <c r="N30" s="54"/>
      <c r="O30" s="202"/>
      <c r="P30" s="34"/>
      <c r="Q30" s="34"/>
      <c r="R30" s="241"/>
      <c r="S30" s="248"/>
      <c r="T30" s="248"/>
      <c r="U30" s="248"/>
    </row>
    <row r="31" spans="1:21" s="218" customFormat="1" ht="14.25" customHeight="1" x14ac:dyDescent="0.2">
      <c r="A31" s="243"/>
      <c r="B31" s="149">
        <v>-7</v>
      </c>
      <c r="C31" s="48"/>
      <c r="D31" s="48"/>
      <c r="E31" s="48"/>
      <c r="F31" s="49"/>
      <c r="G31" s="49"/>
      <c r="H31" s="48" t="s">
        <v>18</v>
      </c>
      <c r="I31" s="48" t="s">
        <v>22</v>
      </c>
      <c r="J31" s="204">
        <f>+K30</f>
        <v>42186</v>
      </c>
      <c r="K31" s="123">
        <v>42339</v>
      </c>
      <c r="L31" s="259">
        <v>444000</v>
      </c>
      <c r="M31" s="59">
        <f>+L30</f>
        <v>437000</v>
      </c>
      <c r="N31" s="54"/>
      <c r="O31" s="202"/>
      <c r="P31" s="34"/>
      <c r="Q31" s="34"/>
      <c r="R31" s="241"/>
      <c r="S31" s="248"/>
      <c r="T31" s="248"/>
      <c r="U31" s="248"/>
    </row>
    <row r="32" spans="1:21" s="174" customFormat="1" x14ac:dyDescent="0.2">
      <c r="A32" s="356" t="s">
        <v>10</v>
      </c>
      <c r="B32" s="357">
        <v>-7</v>
      </c>
      <c r="C32" s="358" t="s">
        <v>32</v>
      </c>
      <c r="D32" s="358"/>
      <c r="E32" s="358" t="s">
        <v>15</v>
      </c>
      <c r="F32" s="359">
        <v>1500</v>
      </c>
      <c r="G32" s="359">
        <v>25000</v>
      </c>
      <c r="H32" s="358" t="s">
        <v>21</v>
      </c>
      <c r="I32" s="358" t="s">
        <v>75</v>
      </c>
      <c r="J32" s="360">
        <v>41153</v>
      </c>
      <c r="K32" s="360">
        <v>41907</v>
      </c>
      <c r="L32" s="361">
        <v>311000</v>
      </c>
      <c r="M32" s="362">
        <v>275000</v>
      </c>
      <c r="N32" s="333"/>
      <c r="O32" s="363">
        <v>0</v>
      </c>
      <c r="P32" s="364">
        <v>35</v>
      </c>
      <c r="Q32" s="365">
        <v>0</v>
      </c>
      <c r="R32" s="366">
        <v>0</v>
      </c>
      <c r="S32" s="247"/>
      <c r="T32" s="247"/>
      <c r="U32" s="247"/>
    </row>
    <row r="33" spans="1:21" s="36" customFormat="1" ht="6" customHeight="1" x14ac:dyDescent="0.2">
      <c r="A33" s="268"/>
      <c r="B33" s="272"/>
      <c r="C33" s="50"/>
      <c r="J33" s="223"/>
      <c r="K33" s="223"/>
      <c r="L33" s="176"/>
      <c r="M33" s="193"/>
      <c r="O33" s="201">
        <v>0</v>
      </c>
      <c r="P33" s="52">
        <v>0</v>
      </c>
      <c r="Q33" s="52">
        <v>0</v>
      </c>
      <c r="R33" s="130">
        <v>0</v>
      </c>
      <c r="S33" s="245"/>
      <c r="T33" s="245"/>
      <c r="U33" s="245"/>
    </row>
    <row r="34" spans="1:21" s="36" customFormat="1" ht="15.75" customHeight="1" x14ac:dyDescent="0.2">
      <c r="A34" s="151" t="s">
        <v>131</v>
      </c>
      <c r="B34" s="157"/>
      <c r="C34" s="153"/>
      <c r="D34" s="154"/>
      <c r="E34" s="155"/>
      <c r="F34" s="154"/>
      <c r="G34" s="154"/>
      <c r="H34" s="154"/>
      <c r="I34" s="154"/>
      <c r="J34" s="190"/>
      <c r="K34" s="190"/>
      <c r="L34" s="194"/>
      <c r="M34" s="195"/>
      <c r="N34" s="185"/>
      <c r="O34" s="200"/>
      <c r="P34" s="178"/>
      <c r="Q34" s="178"/>
      <c r="R34" s="177"/>
      <c r="S34" s="245"/>
      <c r="T34" s="245"/>
      <c r="U34" s="245"/>
    </row>
    <row r="35" spans="1:21" s="36" customFormat="1" ht="6" customHeight="1" x14ac:dyDescent="0.2">
      <c r="A35" s="133"/>
      <c r="B35" s="149"/>
      <c r="C35" s="134"/>
      <c r="D35" s="134"/>
      <c r="E35" s="135"/>
      <c r="F35" s="136"/>
      <c r="G35" s="136"/>
      <c r="H35" s="131"/>
      <c r="I35" s="242"/>
      <c r="J35" s="242"/>
      <c r="K35" s="242"/>
      <c r="L35" s="137"/>
      <c r="M35" s="183"/>
      <c r="N35" s="137"/>
      <c r="O35" s="277">
        <v>0</v>
      </c>
      <c r="P35" s="278">
        <v>0</v>
      </c>
      <c r="Q35" s="278">
        <v>0</v>
      </c>
      <c r="R35" s="279">
        <v>0</v>
      </c>
      <c r="S35" s="245"/>
      <c r="T35" s="245"/>
      <c r="U35" s="245"/>
    </row>
    <row r="36" spans="1:21" s="174" customFormat="1" ht="14.25" customHeight="1" x14ac:dyDescent="0.2">
      <c r="A36" s="250" t="s">
        <v>42</v>
      </c>
      <c r="B36" s="149">
        <v>-7</v>
      </c>
      <c r="C36" s="134"/>
      <c r="D36" s="134"/>
      <c r="E36" s="274" t="s">
        <v>43</v>
      </c>
      <c r="F36" s="136">
        <v>400</v>
      </c>
      <c r="G36" s="136">
        <v>30000</v>
      </c>
      <c r="H36" s="131" t="s">
        <v>18</v>
      </c>
      <c r="I36" s="131" t="s">
        <v>22</v>
      </c>
      <c r="J36" s="260">
        <v>41730</v>
      </c>
      <c r="K36" s="260">
        <v>41791</v>
      </c>
      <c r="L36" s="259">
        <v>215000</v>
      </c>
      <c r="M36" s="59">
        <v>133000</v>
      </c>
      <c r="N36" s="54"/>
      <c r="O36" s="139">
        <v>90</v>
      </c>
      <c r="P36" s="37">
        <v>22</v>
      </c>
      <c r="Q36" s="34">
        <v>0</v>
      </c>
      <c r="R36" s="241">
        <v>0</v>
      </c>
      <c r="S36" s="257"/>
      <c r="T36" s="247"/>
      <c r="U36" s="247"/>
    </row>
    <row r="37" spans="1:21" s="174" customFormat="1" ht="14.25" customHeight="1" x14ac:dyDescent="0.2">
      <c r="A37" s="250"/>
      <c r="B37" s="149">
        <v>-7</v>
      </c>
      <c r="C37" s="134"/>
      <c r="D37" s="134"/>
      <c r="E37" s="274"/>
      <c r="F37" s="136"/>
      <c r="G37" s="136"/>
      <c r="H37" s="131" t="s">
        <v>18</v>
      </c>
      <c r="I37" s="131" t="s">
        <v>22</v>
      </c>
      <c r="J37" s="260">
        <f t="shared" ref="J37:J42" si="0">+K36</f>
        <v>41791</v>
      </c>
      <c r="K37" s="260">
        <v>41852</v>
      </c>
      <c r="L37" s="259">
        <v>218000</v>
      </c>
      <c r="M37" s="262">
        <f>+L36</f>
        <v>215000</v>
      </c>
      <c r="N37" s="54"/>
      <c r="O37" s="139"/>
      <c r="P37" s="34"/>
      <c r="Q37" s="34"/>
      <c r="R37" s="241"/>
      <c r="S37" s="257"/>
      <c r="T37" s="247"/>
      <c r="U37" s="247"/>
    </row>
    <row r="38" spans="1:21" s="174" customFormat="1" ht="14.25" customHeight="1" x14ac:dyDescent="0.2">
      <c r="A38" s="120"/>
      <c r="B38" s="149">
        <v>-7</v>
      </c>
      <c r="C38" s="36"/>
      <c r="D38" s="36"/>
      <c r="E38" s="36"/>
      <c r="F38" s="36"/>
      <c r="G38" s="36"/>
      <c r="H38" s="223" t="s">
        <v>18</v>
      </c>
      <c r="I38" s="131" t="s">
        <v>22</v>
      </c>
      <c r="J38" s="260">
        <f t="shared" si="0"/>
        <v>41852</v>
      </c>
      <c r="K38" s="260">
        <v>42036</v>
      </c>
      <c r="L38" s="259">
        <v>221000</v>
      </c>
      <c r="M38" s="262">
        <v>218000</v>
      </c>
      <c r="N38" s="36"/>
      <c r="O38" s="121"/>
      <c r="P38" s="36"/>
      <c r="Q38" s="36"/>
      <c r="R38" s="275"/>
      <c r="S38" s="247"/>
      <c r="T38" s="247"/>
      <c r="U38" s="247"/>
    </row>
    <row r="39" spans="1:21" s="174" customFormat="1" ht="14.25" customHeight="1" x14ac:dyDescent="0.2">
      <c r="A39" s="120"/>
      <c r="B39" s="149">
        <v>-7</v>
      </c>
      <c r="C39" s="36"/>
      <c r="D39" s="36"/>
      <c r="E39" s="36"/>
      <c r="F39" s="36"/>
      <c r="G39" s="36"/>
      <c r="H39" s="223" t="s">
        <v>18</v>
      </c>
      <c r="I39" s="131" t="s">
        <v>22</v>
      </c>
      <c r="J39" s="260">
        <f t="shared" si="0"/>
        <v>42036</v>
      </c>
      <c r="K39" s="260">
        <v>42217</v>
      </c>
      <c r="L39" s="259">
        <v>225000</v>
      </c>
      <c r="M39" s="262">
        <f t="shared" ref="M39:M42" si="1">L38</f>
        <v>221000</v>
      </c>
      <c r="N39" s="36"/>
      <c r="O39" s="121"/>
      <c r="P39" s="36"/>
      <c r="Q39" s="36"/>
      <c r="R39" s="275"/>
      <c r="S39" s="247"/>
      <c r="T39" s="247"/>
      <c r="U39" s="247"/>
    </row>
    <row r="40" spans="1:21" s="174" customFormat="1" ht="14.25" customHeight="1" x14ac:dyDescent="0.2">
      <c r="A40" s="276"/>
      <c r="B40" s="149">
        <v>-7</v>
      </c>
      <c r="C40" s="36"/>
      <c r="D40" s="36"/>
      <c r="E40" s="36"/>
      <c r="F40" s="36"/>
      <c r="G40" s="36"/>
      <c r="H40" s="223" t="s">
        <v>18</v>
      </c>
      <c r="I40" s="131" t="s">
        <v>22</v>
      </c>
      <c r="J40" s="260">
        <f t="shared" si="0"/>
        <v>42217</v>
      </c>
      <c r="K40" s="260">
        <v>42401</v>
      </c>
      <c r="L40" s="259">
        <v>228000</v>
      </c>
      <c r="M40" s="262">
        <f t="shared" si="1"/>
        <v>225000</v>
      </c>
      <c r="N40" s="36"/>
      <c r="O40" s="121"/>
      <c r="P40" s="36"/>
      <c r="Q40" s="36"/>
      <c r="R40" s="275"/>
      <c r="S40" s="247"/>
      <c r="T40" s="247"/>
      <c r="U40" s="247"/>
    </row>
    <row r="41" spans="1:21" s="174" customFormat="1" ht="14.25" customHeight="1" x14ac:dyDescent="0.2">
      <c r="A41" s="120"/>
      <c r="B41" s="149">
        <v>-7</v>
      </c>
      <c r="C41" s="36"/>
      <c r="D41" s="36"/>
      <c r="E41" s="36"/>
      <c r="F41" s="36"/>
      <c r="G41" s="36"/>
      <c r="H41" s="223" t="s">
        <v>18</v>
      </c>
      <c r="I41" s="131" t="s">
        <v>22</v>
      </c>
      <c r="J41" s="260">
        <f t="shared" si="0"/>
        <v>42401</v>
      </c>
      <c r="K41" s="260">
        <v>42583</v>
      </c>
      <c r="L41" s="259">
        <v>232000</v>
      </c>
      <c r="M41" s="262">
        <f t="shared" si="1"/>
        <v>228000</v>
      </c>
      <c r="N41" s="36"/>
      <c r="O41" s="121"/>
      <c r="P41" s="36"/>
      <c r="Q41" s="36"/>
      <c r="R41" s="275"/>
      <c r="S41" s="247"/>
      <c r="T41" s="247"/>
      <c r="U41" s="247"/>
    </row>
    <row r="42" spans="1:21" s="174" customFormat="1" ht="14.25" customHeight="1" x14ac:dyDescent="0.2">
      <c r="A42" s="120"/>
      <c r="B42" s="149">
        <v>-7</v>
      </c>
      <c r="C42" s="36"/>
      <c r="D42" s="36"/>
      <c r="E42" s="36"/>
      <c r="F42" s="36"/>
      <c r="G42" s="36"/>
      <c r="H42" s="223" t="s">
        <v>18</v>
      </c>
      <c r="I42" s="131" t="s">
        <v>22</v>
      </c>
      <c r="J42" s="260">
        <f t="shared" si="0"/>
        <v>42583</v>
      </c>
      <c r="K42" s="260">
        <v>42767</v>
      </c>
      <c r="L42" s="259">
        <v>235000</v>
      </c>
      <c r="M42" s="262">
        <f t="shared" si="1"/>
        <v>232000</v>
      </c>
      <c r="N42" s="36"/>
      <c r="O42" s="121"/>
      <c r="P42" s="36"/>
      <c r="Q42" s="36"/>
      <c r="R42" s="275"/>
      <c r="S42" s="247"/>
      <c r="T42" s="247"/>
      <c r="U42" s="247"/>
    </row>
    <row r="43" spans="1:21" s="36" customFormat="1" x14ac:dyDescent="0.2">
      <c r="A43" s="367" t="s">
        <v>98</v>
      </c>
      <c r="B43" s="347">
        <v>-7</v>
      </c>
      <c r="C43" s="368"/>
      <c r="D43" s="368"/>
      <c r="E43" s="369">
        <v>1998</v>
      </c>
      <c r="F43" s="370">
        <v>400</v>
      </c>
      <c r="G43" s="370">
        <v>30000</v>
      </c>
      <c r="H43" s="348" t="s">
        <v>18</v>
      </c>
      <c r="I43" s="343" t="s">
        <v>72</v>
      </c>
      <c r="J43" s="349">
        <v>41699</v>
      </c>
      <c r="K43" s="349">
        <v>41760</v>
      </c>
      <c r="L43" s="344">
        <v>191000</v>
      </c>
      <c r="M43" s="334">
        <v>190000</v>
      </c>
      <c r="N43" s="333"/>
      <c r="O43" s="345">
        <v>14</v>
      </c>
      <c r="P43" s="336">
        <v>0</v>
      </c>
      <c r="Q43" s="337">
        <v>0</v>
      </c>
      <c r="R43" s="338">
        <v>0</v>
      </c>
      <c r="S43" s="245"/>
      <c r="T43" s="245"/>
      <c r="U43" s="245"/>
    </row>
    <row r="44" spans="1:21" s="36" customFormat="1" ht="14.25" customHeight="1" x14ac:dyDescent="0.2">
      <c r="A44" s="367"/>
      <c r="B44" s="347">
        <v>-7</v>
      </c>
      <c r="C44" s="368"/>
      <c r="D44" s="368"/>
      <c r="E44" s="369"/>
      <c r="F44" s="370"/>
      <c r="G44" s="370"/>
      <c r="H44" s="348" t="s">
        <v>18</v>
      </c>
      <c r="I44" s="343" t="s">
        <v>72</v>
      </c>
      <c r="J44" s="349">
        <f>+K43</f>
        <v>41760</v>
      </c>
      <c r="K44" s="349">
        <v>41852</v>
      </c>
      <c r="L44" s="344">
        <v>210000</v>
      </c>
      <c r="M44" s="346">
        <f>+L43</f>
        <v>191000</v>
      </c>
      <c r="N44" s="333"/>
      <c r="O44" s="335"/>
      <c r="P44" s="337"/>
      <c r="Q44" s="337"/>
      <c r="R44" s="338"/>
      <c r="S44" s="245"/>
      <c r="T44" s="245"/>
      <c r="U44" s="245"/>
    </row>
    <row r="45" spans="1:21" s="36" customFormat="1" ht="14.25" customHeight="1" x14ac:dyDescent="0.2">
      <c r="A45" s="367"/>
      <c r="B45" s="347">
        <v>-7</v>
      </c>
      <c r="C45" s="368"/>
      <c r="D45" s="368"/>
      <c r="E45" s="369"/>
      <c r="F45" s="370"/>
      <c r="G45" s="370"/>
      <c r="H45" s="348" t="s">
        <v>18</v>
      </c>
      <c r="I45" s="343" t="s">
        <v>72</v>
      </c>
      <c r="J45" s="349">
        <f>+K44</f>
        <v>41852</v>
      </c>
      <c r="K45" s="349">
        <v>42094</v>
      </c>
      <c r="L45" s="344">
        <v>220000</v>
      </c>
      <c r="M45" s="346">
        <f>+L44</f>
        <v>210000</v>
      </c>
      <c r="N45" s="333"/>
      <c r="O45" s="335"/>
      <c r="P45" s="337"/>
      <c r="Q45" s="337"/>
      <c r="R45" s="338"/>
      <c r="S45" s="245"/>
      <c r="T45" s="245"/>
      <c r="U45" s="245"/>
    </row>
    <row r="46" spans="1:21" s="36" customFormat="1" ht="14.25" customHeight="1" x14ac:dyDescent="0.2">
      <c r="A46" s="270" t="s">
        <v>123</v>
      </c>
      <c r="B46" s="251" t="s">
        <v>122</v>
      </c>
      <c r="C46" s="140"/>
      <c r="D46" s="140"/>
      <c r="E46" s="140">
        <v>1999</v>
      </c>
      <c r="F46" s="141">
        <v>400</v>
      </c>
      <c r="G46" s="141">
        <v>30000</v>
      </c>
      <c r="H46" s="140" t="s">
        <v>18</v>
      </c>
      <c r="I46" s="140" t="s">
        <v>124</v>
      </c>
      <c r="J46" s="210">
        <v>41456</v>
      </c>
      <c r="K46" s="264">
        <v>41760</v>
      </c>
      <c r="L46" s="263">
        <v>226000</v>
      </c>
      <c r="M46" s="220">
        <v>146000</v>
      </c>
      <c r="N46" s="54"/>
      <c r="O46" s="203">
        <v>0</v>
      </c>
      <c r="P46" s="254">
        <v>0</v>
      </c>
      <c r="Q46" s="254">
        <v>50</v>
      </c>
      <c r="R46" s="280">
        <v>39</v>
      </c>
      <c r="S46" s="245"/>
      <c r="T46" s="245"/>
      <c r="U46" s="245"/>
    </row>
    <row r="47" spans="1:21" s="36" customFormat="1" x14ac:dyDescent="0.2">
      <c r="A47" s="162"/>
      <c r="B47" s="166"/>
      <c r="C47" s="48"/>
      <c r="D47" s="48"/>
      <c r="E47" s="48"/>
      <c r="F47" s="48"/>
      <c r="G47" s="49"/>
      <c r="H47" s="48"/>
      <c r="I47" s="48"/>
      <c r="J47" s="132"/>
      <c r="K47" s="132"/>
      <c r="L47" s="44"/>
      <c r="M47" s="44"/>
      <c r="N47" s="44"/>
      <c r="O47" s="207"/>
      <c r="P47" s="207"/>
      <c r="Q47" s="207"/>
      <c r="R47" s="207"/>
      <c r="S47" s="245"/>
      <c r="T47" s="245"/>
      <c r="U47" s="245"/>
    </row>
    <row r="48" spans="1:21" s="36" customFormat="1" ht="6" customHeight="1" x14ac:dyDescent="0.2">
      <c r="A48" s="147"/>
      <c r="B48" s="148"/>
      <c r="C48" s="146"/>
      <c r="D48" s="134"/>
      <c r="E48" s="135"/>
      <c r="F48" s="136"/>
      <c r="G48" s="136"/>
      <c r="H48" s="131"/>
      <c r="I48" s="132"/>
      <c r="J48" s="132"/>
      <c r="K48" s="132"/>
      <c r="L48" s="137"/>
      <c r="M48" s="189"/>
      <c r="N48" s="137"/>
      <c r="O48" s="52"/>
      <c r="P48" s="52"/>
      <c r="Q48" s="52"/>
      <c r="R48" s="52"/>
      <c r="S48" s="245"/>
      <c r="T48" s="245"/>
      <c r="U48" s="245"/>
    </row>
    <row r="49" spans="1:21" s="36" customFormat="1" ht="15" x14ac:dyDescent="0.2">
      <c r="A49" s="156" t="s">
        <v>110</v>
      </c>
      <c r="B49" s="158"/>
      <c r="C49" s="153"/>
      <c r="D49" s="159"/>
      <c r="E49" s="160"/>
      <c r="F49" s="159"/>
      <c r="G49" s="159"/>
      <c r="H49" s="161"/>
      <c r="I49" s="159"/>
      <c r="J49" s="192"/>
      <c r="K49" s="192"/>
      <c r="L49" s="198"/>
      <c r="M49" s="199"/>
      <c r="N49" s="187"/>
      <c r="O49" s="187"/>
      <c r="P49" s="188"/>
      <c r="Q49" s="188"/>
      <c r="R49" s="188"/>
      <c r="S49" s="188"/>
      <c r="T49" s="188"/>
      <c r="U49" s="188"/>
    </row>
    <row r="50" spans="1:21" x14ac:dyDescent="0.2">
      <c r="K50" s="51"/>
    </row>
    <row r="51" spans="1:21" s="172" customFormat="1" ht="12.75" customHeight="1" x14ac:dyDescent="0.2">
      <c r="A51" s="151" t="s">
        <v>109</v>
      </c>
      <c r="B51" s="157"/>
      <c r="C51" s="153"/>
      <c r="D51" s="154"/>
      <c r="E51" s="155"/>
      <c r="F51" s="154"/>
      <c r="G51" s="154"/>
      <c r="H51" s="154"/>
      <c r="I51" s="154"/>
      <c r="J51" s="190"/>
      <c r="K51" s="190"/>
      <c r="L51" s="281"/>
      <c r="M51" s="282"/>
      <c r="N51" s="185"/>
      <c r="O51" s="283"/>
      <c r="P51" s="284"/>
      <c r="Q51" s="284"/>
      <c r="R51" s="284"/>
      <c r="S51" s="284"/>
      <c r="T51" s="284"/>
      <c r="U51" s="284"/>
    </row>
    <row r="52" spans="1:21" s="36" customFormat="1" ht="4.5" customHeight="1" x14ac:dyDescent="0.2">
      <c r="A52" s="285"/>
      <c r="B52" s="286"/>
      <c r="C52" s="287"/>
      <c r="D52" s="288"/>
      <c r="E52" s="289"/>
      <c r="F52" s="288"/>
      <c r="G52" s="288"/>
      <c r="H52" s="288"/>
      <c r="I52" s="288"/>
      <c r="J52" s="290"/>
      <c r="K52" s="290"/>
      <c r="L52" s="291"/>
      <c r="M52" s="292"/>
      <c r="N52" s="185"/>
      <c r="O52" s="283"/>
      <c r="P52" s="284"/>
      <c r="Q52" s="284"/>
      <c r="R52" s="284"/>
      <c r="S52" s="284"/>
      <c r="T52" s="284"/>
      <c r="U52" s="284"/>
    </row>
    <row r="53" spans="1:21" s="172" customFormat="1" ht="12.75" customHeight="1" x14ac:dyDescent="0.2">
      <c r="A53" s="327" t="s">
        <v>7</v>
      </c>
      <c r="B53" s="347"/>
      <c r="C53" s="329" t="s">
        <v>31</v>
      </c>
      <c r="D53" s="341" t="s">
        <v>37</v>
      </c>
      <c r="E53" s="329" t="s">
        <v>13</v>
      </c>
      <c r="F53" s="331">
        <v>7000</v>
      </c>
      <c r="G53" s="331">
        <v>25000</v>
      </c>
      <c r="H53" s="353" t="s">
        <v>130</v>
      </c>
      <c r="I53" s="349" t="s">
        <v>130</v>
      </c>
      <c r="J53" s="349">
        <v>41912</v>
      </c>
      <c r="K53" s="349">
        <v>41942</v>
      </c>
      <c r="L53" s="354">
        <v>400000</v>
      </c>
      <c r="M53" s="371">
        <v>400000</v>
      </c>
      <c r="N53" s="269"/>
      <c r="O53" s="36"/>
      <c r="P53" s="36"/>
      <c r="Q53" s="36"/>
      <c r="R53" s="36"/>
      <c r="S53" s="36"/>
      <c r="T53" s="36"/>
      <c r="U53" s="36"/>
    </row>
    <row r="54" spans="1:21" ht="15" customHeight="1" x14ac:dyDescent="0.2">
      <c r="A54" s="372"/>
      <c r="B54" s="373"/>
      <c r="C54" s="374"/>
      <c r="D54" s="374"/>
      <c r="E54" s="374"/>
      <c r="F54" s="374"/>
      <c r="G54" s="374"/>
      <c r="H54" s="375" t="s">
        <v>130</v>
      </c>
      <c r="I54" s="376" t="s">
        <v>130</v>
      </c>
      <c r="J54" s="376">
        <f>+K53</f>
        <v>41942</v>
      </c>
      <c r="K54" s="376">
        <v>42003</v>
      </c>
      <c r="L54" s="377">
        <v>400000</v>
      </c>
      <c r="M54" s="378">
        <f>+L53</f>
        <v>400000</v>
      </c>
    </row>
  </sheetData>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4">
    <mergeCell ref="O6:R6"/>
    <mergeCell ref="O8:R8"/>
    <mergeCell ref="A3:M3"/>
    <mergeCell ref="A4:M4"/>
  </mergeCells>
  <phoneticPr fontId="0" type="noConversion"/>
  <printOptions horizontalCentered="1"/>
  <pageMargins left="0.25" right="0.25" top="0.75" bottom="0.75" header="0.3" footer="0.3"/>
  <pageSetup paperSize="3" scale="46"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7"/>
  <sheetViews>
    <sheetView showGridLines="0" view="pageBreakPreview" topLeftCell="B1" zoomScaleNormal="100" zoomScaleSheetLayoutView="100" workbookViewId="0">
      <selection activeCell="B1" sqref="B1"/>
    </sheetView>
  </sheetViews>
  <sheetFormatPr defaultRowHeight="14.25" x14ac:dyDescent="0.2"/>
  <cols>
    <col min="1" max="1" width="5.140625" hidden="1" customWidth="1"/>
    <col min="2" max="2" width="5.140625" style="29"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8"/>
      <c r="C1" s="7"/>
      <c r="E1" s="8"/>
      <c r="F1" s="9"/>
      <c r="G1" s="9"/>
      <c r="K1" s="40"/>
      <c r="M1" s="7"/>
      <c r="O1" s="25"/>
    </row>
    <row r="2" spans="1:15" s="6" customFormat="1" ht="13.5" customHeight="1" x14ac:dyDescent="0.2">
      <c r="B2" s="31" t="str">
        <f>Report!A2</f>
        <v>Updated: February 18, 2014</v>
      </c>
      <c r="C2" s="31"/>
      <c r="D2" s="10"/>
      <c r="M2" s="7"/>
      <c r="O2" s="25"/>
    </row>
    <row r="3" spans="1:15" s="6" customFormat="1" ht="16.5" customHeight="1" x14ac:dyDescent="0.2">
      <c r="B3" s="32" t="str">
        <f>Report!A3</f>
        <v>Revisions Noted in Bold</v>
      </c>
      <c r="C3" s="32"/>
      <c r="D3" s="32"/>
      <c r="E3" s="32"/>
      <c r="F3" s="32"/>
      <c r="G3" s="32"/>
      <c r="H3" s="32"/>
      <c r="I3" s="32"/>
      <c r="J3" s="32"/>
      <c r="K3" s="32"/>
      <c r="L3" s="32"/>
      <c r="M3" s="32"/>
      <c r="N3" s="32"/>
      <c r="O3" s="25"/>
    </row>
    <row r="5" spans="1:15" ht="14.45" customHeight="1" x14ac:dyDescent="0.2">
      <c r="B5" s="319" t="s">
        <v>44</v>
      </c>
      <c r="C5" s="319"/>
      <c r="D5" s="14"/>
      <c r="E5" s="15"/>
      <c r="F5" s="16"/>
      <c r="G5" s="12"/>
      <c r="H5" s="12"/>
      <c r="I5" s="13"/>
      <c r="J5" s="17"/>
      <c r="K5" s="18"/>
      <c r="L5" s="18"/>
      <c r="M5" s="19"/>
      <c r="N5" s="20"/>
    </row>
    <row r="6" spans="1:15" x14ac:dyDescent="0.2">
      <c r="A6" s="21" t="s">
        <v>105</v>
      </c>
      <c r="C6" s="2"/>
      <c r="D6" s="1"/>
      <c r="E6" s="2"/>
      <c r="F6" s="1"/>
      <c r="G6" s="3"/>
      <c r="H6" s="3"/>
      <c r="I6" s="2"/>
      <c r="J6" s="2"/>
      <c r="K6" s="2"/>
      <c r="L6" s="2"/>
      <c r="M6" s="11"/>
      <c r="N6" s="2"/>
    </row>
    <row r="7" spans="1:15" s="38" customFormat="1" x14ac:dyDescent="0.2">
      <c r="A7" s="30" t="s">
        <v>56</v>
      </c>
      <c r="B7" s="150" t="s">
        <v>56</v>
      </c>
      <c r="C7" s="317" t="s">
        <v>55</v>
      </c>
      <c r="D7" s="318"/>
      <c r="E7" s="318"/>
      <c r="F7" s="318"/>
      <c r="G7" s="318"/>
      <c r="H7" s="318"/>
      <c r="I7" s="318"/>
      <c r="J7" s="318"/>
      <c r="K7" s="318"/>
      <c r="L7" s="318"/>
      <c r="M7" s="318"/>
      <c r="N7" s="318"/>
      <c r="O7" s="26"/>
    </row>
    <row r="8" spans="1:15" s="38" customFormat="1" ht="62.25" customHeight="1" x14ac:dyDescent="0.2">
      <c r="A8" s="30" t="s">
        <v>57</v>
      </c>
      <c r="B8" s="150" t="s">
        <v>57</v>
      </c>
      <c r="C8" s="317" t="s">
        <v>114</v>
      </c>
      <c r="D8" s="320"/>
      <c r="E8" s="320"/>
      <c r="F8" s="320"/>
      <c r="G8" s="320"/>
      <c r="H8" s="320"/>
      <c r="I8" s="320"/>
      <c r="J8" s="320"/>
      <c r="K8" s="320"/>
      <c r="L8" s="320"/>
      <c r="M8" s="320"/>
      <c r="N8" s="320"/>
      <c r="O8" s="26"/>
    </row>
    <row r="9" spans="1:15" s="38" customFormat="1" ht="51" customHeight="1" x14ac:dyDescent="0.2">
      <c r="A9" s="30" t="s">
        <v>58</v>
      </c>
      <c r="B9" s="150" t="s">
        <v>58</v>
      </c>
      <c r="C9" s="317" t="s">
        <v>67</v>
      </c>
      <c r="D9" s="318"/>
      <c r="E9" s="318"/>
      <c r="F9" s="318"/>
      <c r="G9" s="318"/>
      <c r="H9" s="318"/>
      <c r="I9" s="318"/>
      <c r="J9" s="318"/>
      <c r="K9" s="318"/>
      <c r="L9" s="318"/>
      <c r="M9" s="318"/>
      <c r="N9" s="318"/>
      <c r="O9" s="26"/>
    </row>
    <row r="10" spans="1:15" s="38" customFormat="1" ht="27" customHeight="1" x14ac:dyDescent="0.2">
      <c r="A10" s="30" t="s">
        <v>59</v>
      </c>
      <c r="B10" s="150" t="s">
        <v>59</v>
      </c>
      <c r="C10" s="317" t="s">
        <v>74</v>
      </c>
      <c r="D10" s="318"/>
      <c r="E10" s="318"/>
      <c r="F10" s="318"/>
      <c r="G10" s="318"/>
      <c r="H10" s="318"/>
      <c r="I10" s="318"/>
      <c r="J10" s="318"/>
      <c r="K10" s="318"/>
      <c r="L10" s="318"/>
      <c r="M10" s="318"/>
      <c r="N10" s="318"/>
      <c r="O10" s="26"/>
    </row>
    <row r="11" spans="1:15" s="38" customFormat="1" x14ac:dyDescent="0.2">
      <c r="A11" s="30" t="s">
        <v>60</v>
      </c>
      <c r="B11" s="150" t="s">
        <v>60</v>
      </c>
      <c r="C11" s="317" t="s">
        <v>68</v>
      </c>
      <c r="D11" s="318"/>
      <c r="E11" s="318"/>
      <c r="F11" s="318"/>
      <c r="G11" s="318"/>
      <c r="H11" s="318"/>
      <c r="I11" s="318"/>
      <c r="J11" s="318"/>
      <c r="K11" s="318"/>
      <c r="L11" s="318"/>
      <c r="M11" s="318"/>
      <c r="N11" s="318"/>
      <c r="O11" s="26"/>
    </row>
    <row r="12" spans="1:15" s="21" customFormat="1" ht="14.25" customHeight="1" x14ac:dyDescent="0.2">
      <c r="A12" s="30" t="s">
        <v>61</v>
      </c>
      <c r="B12" s="150" t="s">
        <v>61</v>
      </c>
      <c r="C12" s="317" t="s">
        <v>71</v>
      </c>
      <c r="D12" s="318"/>
      <c r="E12" s="318"/>
      <c r="F12" s="318"/>
      <c r="G12" s="318"/>
      <c r="H12" s="318"/>
      <c r="I12" s="318"/>
      <c r="J12" s="318"/>
      <c r="K12" s="318"/>
      <c r="L12" s="318"/>
      <c r="M12" s="318"/>
      <c r="N12" s="318"/>
      <c r="O12" s="26"/>
    </row>
    <row r="13" spans="1:15" s="38" customFormat="1" ht="14.25" customHeight="1" x14ac:dyDescent="0.2">
      <c r="A13" s="30" t="s">
        <v>62</v>
      </c>
      <c r="B13" s="150" t="s">
        <v>62</v>
      </c>
      <c r="C13" s="317" t="s">
        <v>2</v>
      </c>
      <c r="D13" s="318"/>
      <c r="E13" s="318"/>
      <c r="F13" s="318"/>
      <c r="G13" s="318"/>
      <c r="H13" s="318"/>
      <c r="I13" s="318"/>
      <c r="J13" s="318"/>
      <c r="K13" s="318"/>
      <c r="L13" s="318"/>
      <c r="M13" s="318"/>
      <c r="N13" s="318"/>
      <c r="O13" s="26"/>
    </row>
    <row r="14" spans="1:15" s="38" customFormat="1" ht="15" customHeight="1" x14ac:dyDescent="0.2">
      <c r="A14" s="30" t="s">
        <v>63</v>
      </c>
      <c r="B14" s="150" t="s">
        <v>63</v>
      </c>
      <c r="C14" s="317" t="s">
        <v>1</v>
      </c>
      <c r="D14" s="318"/>
      <c r="E14" s="318"/>
      <c r="F14" s="318"/>
      <c r="G14" s="318"/>
      <c r="H14" s="318"/>
      <c r="I14" s="318"/>
      <c r="J14" s="318"/>
      <c r="K14" s="318"/>
      <c r="L14" s="318"/>
      <c r="M14" s="318"/>
      <c r="N14" s="318"/>
      <c r="O14" s="26"/>
    </row>
    <row r="15" spans="1:15" s="38" customFormat="1" ht="40.5" customHeight="1" x14ac:dyDescent="0.2">
      <c r="A15" s="30" t="s">
        <v>64</v>
      </c>
      <c r="B15" s="150" t="s">
        <v>64</v>
      </c>
      <c r="C15" s="317" t="s">
        <v>111</v>
      </c>
      <c r="D15" s="320"/>
      <c r="E15" s="320"/>
      <c r="F15" s="320"/>
      <c r="G15" s="320"/>
      <c r="H15" s="320"/>
      <c r="I15" s="320"/>
      <c r="J15" s="320"/>
      <c r="K15" s="320"/>
      <c r="L15" s="320"/>
      <c r="M15" s="320"/>
      <c r="N15" s="320"/>
      <c r="O15" s="26"/>
    </row>
    <row r="16" spans="1:15" s="38" customFormat="1" ht="29.1" customHeight="1" x14ac:dyDescent="0.2">
      <c r="A16" s="30" t="s">
        <v>65</v>
      </c>
      <c r="B16" s="150" t="s">
        <v>65</v>
      </c>
      <c r="C16" s="317" t="s">
        <v>3</v>
      </c>
      <c r="D16" s="318"/>
      <c r="E16" s="318"/>
      <c r="F16" s="318"/>
      <c r="G16" s="318"/>
      <c r="H16" s="318"/>
      <c r="I16" s="318"/>
      <c r="J16" s="318"/>
      <c r="K16" s="318"/>
      <c r="L16" s="318"/>
      <c r="M16" s="318"/>
      <c r="N16" s="318"/>
      <c r="O16" s="26"/>
    </row>
    <row r="17" spans="1:19" s="21" customFormat="1" ht="29.25" customHeight="1" x14ac:dyDescent="0.2">
      <c r="A17" s="30" t="s">
        <v>66</v>
      </c>
      <c r="B17" s="150" t="s">
        <v>66</v>
      </c>
      <c r="C17" s="317" t="s">
        <v>106</v>
      </c>
      <c r="D17" s="320"/>
      <c r="E17" s="320"/>
      <c r="F17" s="320"/>
      <c r="G17" s="320"/>
      <c r="H17" s="320"/>
      <c r="I17" s="320"/>
      <c r="J17" s="320"/>
      <c r="K17" s="320"/>
      <c r="L17" s="320"/>
      <c r="M17" s="320"/>
      <c r="N17" s="320"/>
      <c r="O17" s="26"/>
    </row>
    <row r="18" spans="1:19" s="38" customFormat="1" ht="27" customHeight="1" x14ac:dyDescent="0.2">
      <c r="A18" s="30" t="s">
        <v>0</v>
      </c>
      <c r="B18" s="150" t="s">
        <v>4</v>
      </c>
      <c r="C18" s="317" t="s">
        <v>107</v>
      </c>
      <c r="D18" s="318"/>
      <c r="E18" s="318"/>
      <c r="F18" s="318"/>
      <c r="G18" s="318"/>
      <c r="H18" s="318"/>
      <c r="I18" s="318"/>
      <c r="J18" s="318"/>
      <c r="K18" s="318"/>
      <c r="L18" s="318"/>
      <c r="M18" s="318"/>
      <c r="N18" s="318"/>
      <c r="O18" s="209"/>
    </row>
    <row r="19" spans="1:19" ht="19.5" customHeight="1" x14ac:dyDescent="0.2">
      <c r="B19" s="237" t="s">
        <v>0</v>
      </c>
      <c r="C19" s="321" t="s">
        <v>125</v>
      </c>
      <c r="D19" s="321"/>
      <c r="E19" s="321"/>
      <c r="F19" s="321"/>
      <c r="G19" s="321"/>
      <c r="H19" s="321"/>
      <c r="I19" s="321"/>
      <c r="J19" s="321"/>
      <c r="K19" s="321"/>
      <c r="L19" s="321"/>
      <c r="M19" s="321"/>
      <c r="S19" s="24"/>
    </row>
    <row r="20" spans="1:19" x14ac:dyDescent="0.2">
      <c r="S20" s="24"/>
    </row>
    <row r="21" spans="1:19" x14ac:dyDescent="0.2">
      <c r="S21" s="24"/>
    </row>
    <row r="22" spans="1:19" x14ac:dyDescent="0.2">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4">
    <mergeCell ref="C19:M19"/>
    <mergeCell ref="C14:N14"/>
    <mergeCell ref="C15:N15"/>
    <mergeCell ref="C17:N17"/>
    <mergeCell ref="C16:N16"/>
    <mergeCell ref="C18:N18"/>
    <mergeCell ref="C11:N11"/>
    <mergeCell ref="C12:N12"/>
    <mergeCell ref="C13:N13"/>
    <mergeCell ref="B5:C5"/>
    <mergeCell ref="C9:N9"/>
    <mergeCell ref="C7:N7"/>
    <mergeCell ref="C8:N8"/>
    <mergeCell ref="C10:N10"/>
  </mergeCells>
  <phoneticPr fontId="16"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9"/>
  <sheetViews>
    <sheetView view="pageBreakPreview" zoomScale="85" zoomScaleNormal="100" zoomScaleSheetLayoutView="85" workbookViewId="0">
      <selection activeCell="A17" sqref="A17"/>
    </sheetView>
  </sheetViews>
  <sheetFormatPr defaultRowHeight="12.75" x14ac:dyDescent="0.2"/>
  <cols>
    <col min="1" max="1" width="31.7109375" style="58" customWidth="1"/>
    <col min="2" max="2" width="13.7109375" style="58" customWidth="1"/>
    <col min="3" max="16" width="9.140625" style="58"/>
    <col min="17" max="17" width="9.42578125" style="95" customWidth="1"/>
    <col min="18" max="16384" width="9.140625" style="95"/>
  </cols>
  <sheetData>
    <row r="1" spans="1:16" s="56" customFormat="1" ht="41.25" customHeight="1" x14ac:dyDescent="0.2">
      <c r="C1" s="57"/>
      <c r="D1" s="91"/>
      <c r="E1" s="91"/>
      <c r="J1" s="92"/>
    </row>
    <row r="2" spans="1:16" s="56" customFormat="1" ht="13.5" customHeight="1" x14ac:dyDescent="0.2">
      <c r="A2" s="93" t="str">
        <f>Report!A2</f>
        <v>Updated: February 18, 2014</v>
      </c>
      <c r="B2" s="94"/>
    </row>
    <row r="3" spans="1:16" s="56" customFormat="1" ht="16.5" customHeight="1" x14ac:dyDescent="0.2">
      <c r="A3" s="322" t="str">
        <f>Report!A3</f>
        <v>Revisions Noted in Bold</v>
      </c>
      <c r="B3" s="323"/>
      <c r="C3" s="323"/>
      <c r="D3" s="323"/>
      <c r="E3" s="323"/>
      <c r="F3" s="323"/>
      <c r="G3" s="323"/>
      <c r="H3" s="323"/>
      <c r="I3" s="323"/>
      <c r="J3" s="323"/>
      <c r="K3" s="323"/>
      <c r="L3" s="323"/>
    </row>
    <row r="5" spans="1:16" ht="16.5" customHeight="1" x14ac:dyDescent="0.2">
      <c r="A5" s="80" t="s">
        <v>48</v>
      </c>
      <c r="B5" s="75"/>
      <c r="C5" s="86"/>
      <c r="D5" s="81"/>
      <c r="E5" s="82"/>
      <c r="F5" s="81"/>
      <c r="G5" s="81"/>
      <c r="H5" s="83"/>
      <c r="I5" s="81"/>
      <c r="J5" s="81"/>
      <c r="K5" s="81"/>
      <c r="L5" s="81"/>
      <c r="M5" s="81"/>
      <c r="N5" s="81"/>
      <c r="O5" s="84"/>
      <c r="P5" s="84"/>
    </row>
    <row r="6" spans="1:16" ht="18.75" x14ac:dyDescent="0.2">
      <c r="A6" s="96" t="s">
        <v>8</v>
      </c>
      <c r="B6" s="97" t="s">
        <v>50</v>
      </c>
      <c r="C6" s="98"/>
      <c r="D6" s="98"/>
      <c r="E6" s="98"/>
      <c r="F6" s="98"/>
      <c r="G6" s="98"/>
      <c r="H6" s="98"/>
      <c r="I6" s="98"/>
      <c r="J6" s="98"/>
      <c r="K6" s="98"/>
      <c r="L6" s="98"/>
      <c r="M6" s="98"/>
      <c r="N6" s="98"/>
      <c r="O6" s="98"/>
      <c r="P6" s="98"/>
    </row>
    <row r="7" spans="1:16" ht="15" x14ac:dyDescent="0.2">
      <c r="A7" s="87" t="s">
        <v>119</v>
      </c>
      <c r="B7" s="88"/>
      <c r="C7" s="86"/>
      <c r="D7" s="75"/>
      <c r="E7" s="76"/>
      <c r="F7" s="75"/>
      <c r="G7" s="75"/>
      <c r="H7" s="75"/>
      <c r="I7" s="75"/>
      <c r="J7" s="75"/>
      <c r="K7" s="75"/>
      <c r="L7" s="75"/>
      <c r="M7" s="75"/>
      <c r="N7" s="75"/>
      <c r="O7" s="77"/>
      <c r="P7" s="77"/>
    </row>
    <row r="8" spans="1:16" ht="9" customHeight="1" x14ac:dyDescent="0.2">
      <c r="A8" s="99"/>
      <c r="B8" s="99"/>
      <c r="C8" s="99"/>
      <c r="D8" s="99"/>
      <c r="E8" s="99"/>
      <c r="F8" s="99"/>
      <c r="G8" s="99"/>
      <c r="H8" s="99"/>
      <c r="I8" s="99"/>
      <c r="J8" s="99"/>
      <c r="K8" s="99"/>
      <c r="L8" s="99"/>
      <c r="M8" s="52"/>
      <c r="N8" s="52"/>
      <c r="O8" s="52"/>
      <c r="P8" s="52"/>
    </row>
    <row r="9" spans="1:16" s="107" customFormat="1" ht="13.5" customHeight="1" x14ac:dyDescent="0.2">
      <c r="A9" s="226" t="s">
        <v>53</v>
      </c>
      <c r="B9" s="227">
        <v>40483</v>
      </c>
      <c r="C9" s="230"/>
      <c r="D9" s="230"/>
      <c r="E9" s="224"/>
      <c r="F9" s="224"/>
      <c r="G9" s="224"/>
      <c r="H9" s="224"/>
      <c r="I9" s="224"/>
      <c r="J9" s="224"/>
      <c r="K9" s="224"/>
      <c r="L9" s="224"/>
      <c r="M9" s="224"/>
      <c r="N9" s="224"/>
      <c r="O9" s="224"/>
      <c r="P9" s="224"/>
    </row>
    <row r="10" spans="1:16" s="107" customFormat="1" x14ac:dyDescent="0.2">
      <c r="A10" s="238" t="s">
        <v>47</v>
      </c>
      <c r="B10" s="239">
        <v>41535</v>
      </c>
      <c r="C10" s="238"/>
      <c r="D10" s="238"/>
      <c r="E10" s="238"/>
      <c r="F10" s="238"/>
      <c r="G10" s="238"/>
      <c r="H10" s="238"/>
      <c r="I10" s="238"/>
      <c r="J10" s="238"/>
      <c r="K10" s="238"/>
      <c r="L10" s="238"/>
      <c r="M10" s="240"/>
      <c r="N10" s="240"/>
      <c r="O10" s="240"/>
      <c r="P10" s="240"/>
    </row>
    <row r="11" spans="1:16" x14ac:dyDescent="0.2">
      <c r="A11" s="226" t="s">
        <v>94</v>
      </c>
      <c r="B11" s="227">
        <v>41522</v>
      </c>
      <c r="C11" s="99"/>
      <c r="D11" s="99"/>
      <c r="E11" s="99"/>
      <c r="F11" s="99"/>
      <c r="G11" s="99"/>
      <c r="H11" s="99"/>
      <c r="I11" s="99"/>
      <c r="J11" s="99"/>
      <c r="K11" s="99"/>
      <c r="L11" s="99"/>
      <c r="M11" s="52"/>
      <c r="N11" s="52"/>
      <c r="O11" s="52"/>
      <c r="P11" s="52"/>
    </row>
    <row r="12" spans="1:16" ht="15" x14ac:dyDescent="0.2">
      <c r="A12" s="87" t="s">
        <v>116</v>
      </c>
      <c r="B12" s="88"/>
      <c r="C12" s="86"/>
      <c r="D12" s="75"/>
      <c r="E12" s="76"/>
      <c r="F12" s="75"/>
      <c r="G12" s="75"/>
      <c r="H12" s="75"/>
      <c r="I12" s="75"/>
      <c r="J12" s="75"/>
      <c r="K12" s="75"/>
      <c r="L12" s="75"/>
      <c r="M12" s="75"/>
      <c r="N12" s="75"/>
      <c r="O12" s="77"/>
      <c r="P12" s="77"/>
    </row>
    <row r="13" spans="1:16" ht="9" customHeight="1" x14ac:dyDescent="0.2">
      <c r="A13" s="99"/>
      <c r="B13" s="99"/>
      <c r="C13" s="99"/>
      <c r="D13" s="99"/>
      <c r="E13" s="99"/>
      <c r="F13" s="99"/>
      <c r="G13" s="99"/>
      <c r="H13" s="99"/>
      <c r="I13" s="99"/>
      <c r="J13" s="99"/>
      <c r="K13" s="99"/>
      <c r="L13" s="99"/>
      <c r="M13" s="52"/>
      <c r="N13" s="52"/>
      <c r="O13" s="52"/>
      <c r="P13" s="52"/>
    </row>
    <row r="14" spans="1:16" s="56" customFormat="1" ht="12.75" customHeight="1" x14ac:dyDescent="0.2">
      <c r="A14" s="108" t="s">
        <v>6</v>
      </c>
      <c r="B14" s="109" t="s">
        <v>49</v>
      </c>
      <c r="C14" s="168"/>
      <c r="D14" s="168"/>
      <c r="E14" s="169"/>
      <c r="F14" s="169"/>
      <c r="G14" s="170"/>
      <c r="H14" s="170"/>
      <c r="I14" s="170"/>
      <c r="J14" s="78"/>
      <c r="K14" s="171"/>
      <c r="L14" s="110"/>
      <c r="M14" s="79"/>
      <c r="N14" s="79"/>
      <c r="O14" s="79"/>
      <c r="P14" s="79"/>
    </row>
    <row r="15" spans="1:16" s="56" customFormat="1" ht="12.75" customHeight="1" x14ac:dyDescent="0.2">
      <c r="A15" s="213" t="s">
        <v>115</v>
      </c>
      <c r="B15" s="101">
        <v>40187</v>
      </c>
      <c r="C15" s="214"/>
      <c r="D15" s="214"/>
      <c r="E15" s="215"/>
      <c r="F15" s="215"/>
      <c r="G15" s="216"/>
      <c r="H15" s="216"/>
      <c r="I15" s="216"/>
      <c r="J15" s="35"/>
      <c r="K15" s="217"/>
      <c r="L15" s="103"/>
      <c r="M15" s="52"/>
      <c r="N15" s="52"/>
      <c r="O15" s="52"/>
      <c r="P15" s="52"/>
    </row>
    <row r="16" spans="1:16" s="56" customFormat="1" ht="12.75" customHeight="1" x14ac:dyDescent="0.2">
      <c r="A16" s="229" t="s">
        <v>69</v>
      </c>
      <c r="B16" s="109">
        <v>40642</v>
      </c>
      <c r="C16" s="168"/>
      <c r="D16" s="168"/>
      <c r="E16" s="169"/>
      <c r="F16" s="169"/>
      <c r="G16" s="170"/>
      <c r="H16" s="170"/>
      <c r="I16" s="170"/>
      <c r="J16" s="78"/>
      <c r="K16" s="171"/>
      <c r="L16" s="110"/>
      <c r="M16" s="79"/>
      <c r="N16" s="79"/>
      <c r="O16" s="79"/>
      <c r="P16" s="79"/>
    </row>
    <row r="17" spans="1:16" s="56" customFormat="1" x14ac:dyDescent="0.2">
      <c r="A17" s="100" t="s">
        <v>70</v>
      </c>
      <c r="B17" s="101">
        <v>40646</v>
      </c>
      <c r="C17" s="104"/>
      <c r="D17" s="104"/>
      <c r="E17" s="102"/>
      <c r="F17" s="102"/>
      <c r="G17" s="53"/>
      <c r="H17" s="53"/>
      <c r="I17" s="53"/>
      <c r="J17" s="35"/>
      <c r="K17" s="103"/>
      <c r="L17" s="103"/>
      <c r="M17" s="52"/>
      <c r="N17" s="52"/>
      <c r="O17" s="52"/>
      <c r="P17" s="52"/>
    </row>
    <row r="18" spans="1:16" s="56" customFormat="1" ht="12.75" customHeight="1" x14ac:dyDescent="0.2">
      <c r="A18" s="229" t="s">
        <v>95</v>
      </c>
      <c r="B18" s="228">
        <v>41456</v>
      </c>
      <c r="C18" s="168"/>
      <c r="D18" s="168"/>
      <c r="E18" s="169"/>
      <c r="F18" s="169"/>
      <c r="G18" s="170"/>
      <c r="H18" s="170"/>
      <c r="I18" s="170"/>
      <c r="J18" s="78"/>
      <c r="K18" s="171"/>
      <c r="L18" s="110"/>
      <c r="M18" s="79"/>
      <c r="N18" s="79"/>
      <c r="O18" s="79"/>
      <c r="P18" s="79"/>
    </row>
    <row r="19" spans="1:16" s="56" customFormat="1" ht="15.75" customHeight="1" x14ac:dyDescent="0.2">
      <c r="A19" s="231" t="s">
        <v>120</v>
      </c>
      <c r="B19" s="232"/>
      <c r="C19" s="233"/>
      <c r="D19" s="234"/>
      <c r="E19" s="235"/>
      <c r="F19" s="234"/>
      <c r="G19" s="234"/>
      <c r="H19" s="236"/>
      <c r="I19" s="234"/>
      <c r="J19" s="234"/>
      <c r="K19" s="234"/>
      <c r="L19" s="234"/>
      <c r="M19" s="234"/>
      <c r="N19" s="234"/>
      <c r="O19" s="84"/>
      <c r="P19" s="84"/>
    </row>
    <row r="20" spans="1:16" x14ac:dyDescent="0.2">
      <c r="A20" s="226" t="s">
        <v>99</v>
      </c>
      <c r="B20" s="227">
        <v>41623</v>
      </c>
      <c r="C20" s="226"/>
      <c r="D20" s="226"/>
      <c r="E20" s="226"/>
      <c r="F20" s="226"/>
      <c r="G20" s="226"/>
      <c r="H20" s="226"/>
      <c r="I20" s="226"/>
      <c r="J20" s="226"/>
      <c r="K20" s="226"/>
      <c r="L20" s="226"/>
      <c r="M20" s="52"/>
      <c r="N20" s="52"/>
      <c r="O20" s="52"/>
      <c r="P20" s="52"/>
    </row>
    <row r="21" spans="1:16" x14ac:dyDescent="0.2">
      <c r="A21" s="238" t="s">
        <v>73</v>
      </c>
      <c r="B21" s="239">
        <v>41501</v>
      </c>
      <c r="C21" s="238"/>
      <c r="D21" s="238"/>
      <c r="E21" s="238"/>
      <c r="F21" s="238"/>
      <c r="G21" s="238"/>
      <c r="H21" s="238"/>
      <c r="I21" s="238"/>
      <c r="J21" s="238"/>
      <c r="K21" s="238"/>
      <c r="L21" s="238"/>
      <c r="M21" s="240"/>
      <c r="N21" s="240"/>
      <c r="O21" s="240"/>
      <c r="P21" s="240"/>
    </row>
    <row r="22" spans="1:16" x14ac:dyDescent="0.2">
      <c r="A22" s="226" t="s">
        <v>92</v>
      </c>
      <c r="B22" s="227">
        <v>41639</v>
      </c>
      <c r="C22" s="226"/>
      <c r="D22" s="226"/>
      <c r="E22" s="226"/>
      <c r="F22" s="226"/>
      <c r="G22" s="226"/>
      <c r="H22" s="226"/>
      <c r="I22" s="226"/>
      <c r="J22" s="226"/>
      <c r="K22" s="226"/>
      <c r="L22" s="226"/>
      <c r="M22" s="52"/>
      <c r="N22" s="52"/>
      <c r="O22" s="52"/>
      <c r="P22" s="52"/>
    </row>
    <row r="23" spans="1:16" x14ac:dyDescent="0.2">
      <c r="A23" s="226"/>
      <c r="B23" s="225"/>
      <c r="C23" s="226"/>
      <c r="D23" s="226"/>
      <c r="E23" s="226"/>
      <c r="F23" s="226"/>
      <c r="G23" s="226"/>
      <c r="H23" s="226"/>
      <c r="I23" s="226"/>
      <c r="J23" s="226"/>
      <c r="K23" s="226"/>
      <c r="L23" s="226"/>
      <c r="M23" s="52"/>
      <c r="N23" s="52"/>
      <c r="O23" s="52"/>
      <c r="P23" s="52"/>
    </row>
    <row r="24" spans="1:16" x14ac:dyDescent="0.2">
      <c r="A24" s="99" t="s">
        <v>51</v>
      </c>
      <c r="B24" s="99"/>
      <c r="C24" s="99"/>
      <c r="D24" s="99"/>
      <c r="E24" s="99"/>
      <c r="F24" s="99"/>
      <c r="G24" s="99"/>
      <c r="H24" s="99"/>
      <c r="I24" s="99"/>
      <c r="J24" s="99"/>
      <c r="K24" s="99"/>
      <c r="L24" s="99"/>
      <c r="M24" s="52"/>
      <c r="N24" s="52"/>
      <c r="O24" s="52"/>
      <c r="P24" s="52"/>
    </row>
    <row r="25" spans="1:16" ht="39" customHeight="1" x14ac:dyDescent="0.2">
      <c r="A25" s="324" t="s">
        <v>5</v>
      </c>
      <c r="B25" s="325"/>
      <c r="C25" s="325"/>
      <c r="D25" s="325"/>
      <c r="E25" s="325"/>
      <c r="F25" s="325"/>
      <c r="G25" s="325"/>
      <c r="H25" s="325"/>
      <c r="I25" s="325"/>
      <c r="J25" s="325"/>
      <c r="K25" s="325"/>
      <c r="L25" s="325"/>
      <c r="M25" s="325"/>
      <c r="N25" s="325"/>
      <c r="O25" s="325"/>
      <c r="P25" s="325"/>
    </row>
    <row r="26" spans="1:16" x14ac:dyDescent="0.2">
      <c r="A26" s="95"/>
      <c r="B26" s="95"/>
      <c r="C26" s="95"/>
      <c r="D26" s="95"/>
      <c r="E26" s="95"/>
      <c r="F26" s="95"/>
      <c r="G26" s="95"/>
      <c r="H26" s="95"/>
      <c r="I26" s="95"/>
      <c r="J26" s="95"/>
      <c r="K26" s="95"/>
      <c r="L26" s="95"/>
      <c r="M26" s="95"/>
      <c r="N26" s="95"/>
      <c r="O26" s="95"/>
      <c r="P26" s="95"/>
    </row>
    <row r="27" spans="1:16" x14ac:dyDescent="0.2">
      <c r="A27" s="95"/>
      <c r="B27" s="95"/>
      <c r="C27" s="95"/>
      <c r="D27" s="95"/>
      <c r="E27" s="95"/>
      <c r="F27" s="95"/>
      <c r="G27" s="95"/>
      <c r="H27" s="95"/>
      <c r="I27" s="95"/>
      <c r="J27" s="95"/>
      <c r="K27" s="95"/>
      <c r="L27" s="95"/>
      <c r="M27" s="95"/>
      <c r="N27" s="95"/>
      <c r="O27" s="95"/>
      <c r="P27" s="95"/>
    </row>
    <row r="28" spans="1:16" x14ac:dyDescent="0.2">
      <c r="A28" s="95"/>
      <c r="B28" s="95"/>
      <c r="C28" s="95"/>
      <c r="D28" s="95"/>
      <c r="E28" s="95"/>
      <c r="F28" s="95"/>
      <c r="G28" s="95"/>
      <c r="H28" s="95"/>
      <c r="I28" s="95"/>
      <c r="J28" s="95"/>
      <c r="K28" s="95"/>
      <c r="L28" s="95"/>
      <c r="M28" s="95"/>
      <c r="N28" s="95"/>
      <c r="O28" s="95"/>
      <c r="P28" s="95"/>
    </row>
    <row r="29" spans="1:16" x14ac:dyDescent="0.2">
      <c r="A29" s="95"/>
      <c r="B29" s="95"/>
      <c r="C29" s="95"/>
      <c r="D29" s="95"/>
      <c r="E29" s="95"/>
      <c r="F29" s="95"/>
      <c r="G29" s="95"/>
      <c r="H29" s="95"/>
      <c r="I29" s="95"/>
      <c r="J29" s="95"/>
      <c r="K29" s="95"/>
      <c r="L29" s="95"/>
      <c r="M29" s="95"/>
      <c r="N29" s="95"/>
      <c r="O29" s="95"/>
      <c r="P29" s="95"/>
    </row>
    <row r="30" spans="1:16" x14ac:dyDescent="0.2">
      <c r="A30" s="95"/>
      <c r="B30" s="95"/>
      <c r="C30" s="95"/>
      <c r="D30" s="95"/>
      <c r="E30" s="95"/>
      <c r="F30" s="95"/>
      <c r="G30" s="95"/>
      <c r="H30" s="95"/>
      <c r="I30" s="95"/>
      <c r="J30" s="95"/>
      <c r="K30" s="95"/>
      <c r="L30" s="95"/>
      <c r="M30" s="95"/>
      <c r="N30" s="95"/>
      <c r="O30" s="95"/>
      <c r="P30" s="95"/>
    </row>
    <row r="31" spans="1:16" x14ac:dyDescent="0.2">
      <c r="A31" s="95"/>
      <c r="B31" s="95"/>
      <c r="C31" s="95"/>
      <c r="D31" s="95"/>
      <c r="E31" s="95"/>
      <c r="F31" s="95"/>
      <c r="G31" s="95"/>
      <c r="H31" s="95"/>
      <c r="I31" s="95"/>
      <c r="J31" s="95"/>
      <c r="K31" s="95"/>
      <c r="L31" s="95"/>
      <c r="M31" s="95"/>
      <c r="N31" s="95"/>
      <c r="O31" s="95"/>
      <c r="P31" s="95"/>
    </row>
    <row r="32" spans="1:16" x14ac:dyDescent="0.2">
      <c r="A32" s="95"/>
      <c r="B32" s="95"/>
      <c r="C32" s="95"/>
      <c r="D32" s="95"/>
      <c r="E32" s="95"/>
      <c r="F32" s="95"/>
      <c r="G32" s="95"/>
      <c r="H32" s="95"/>
      <c r="I32" s="95"/>
      <c r="J32" s="95"/>
      <c r="K32" s="95"/>
      <c r="L32" s="95"/>
      <c r="M32" s="95"/>
      <c r="N32" s="95"/>
      <c r="O32" s="95"/>
      <c r="P32" s="95"/>
    </row>
    <row r="33" spans="1:16" x14ac:dyDescent="0.2">
      <c r="A33" s="95"/>
      <c r="B33" s="95"/>
      <c r="C33" s="95"/>
      <c r="D33" s="95"/>
      <c r="E33" s="95"/>
      <c r="F33" s="95"/>
      <c r="G33" s="95"/>
      <c r="H33" s="95"/>
      <c r="I33" s="95"/>
      <c r="J33" s="95"/>
      <c r="K33" s="95"/>
      <c r="L33" s="95"/>
      <c r="M33" s="95"/>
      <c r="N33" s="95"/>
      <c r="O33" s="95"/>
      <c r="P33" s="95"/>
    </row>
    <row r="34" spans="1:16" x14ac:dyDescent="0.2">
      <c r="A34" s="95"/>
      <c r="B34" s="95"/>
      <c r="C34" s="95"/>
      <c r="D34" s="95"/>
      <c r="E34" s="95"/>
      <c r="F34" s="95"/>
      <c r="G34" s="95"/>
      <c r="H34" s="95"/>
      <c r="I34" s="95"/>
      <c r="J34" s="95"/>
      <c r="K34" s="95"/>
      <c r="L34" s="95"/>
      <c r="M34" s="95"/>
      <c r="N34" s="95"/>
      <c r="O34" s="95"/>
      <c r="P34" s="95"/>
    </row>
    <row r="35" spans="1:16" x14ac:dyDescent="0.2">
      <c r="A35" s="95"/>
      <c r="B35" s="95"/>
      <c r="C35" s="95"/>
      <c r="D35" s="95"/>
      <c r="E35" s="95"/>
      <c r="F35" s="95"/>
      <c r="G35" s="95"/>
      <c r="H35" s="95"/>
      <c r="I35" s="95"/>
      <c r="J35" s="95"/>
      <c r="K35" s="95"/>
      <c r="L35" s="95"/>
      <c r="M35" s="95"/>
      <c r="N35" s="95"/>
      <c r="O35" s="95"/>
      <c r="P35" s="95"/>
    </row>
    <row r="36" spans="1:16" x14ac:dyDescent="0.2">
      <c r="A36" s="95"/>
      <c r="B36" s="95"/>
      <c r="C36" s="95"/>
      <c r="D36" s="56"/>
      <c r="E36" s="56"/>
      <c r="F36" s="56"/>
      <c r="G36" s="95"/>
      <c r="H36" s="95"/>
      <c r="I36" s="95"/>
      <c r="J36" s="95"/>
      <c r="K36" s="95"/>
      <c r="L36" s="95"/>
      <c r="M36" s="95"/>
      <c r="N36" s="95"/>
      <c r="O36" s="95"/>
      <c r="P36" s="95"/>
    </row>
    <row r="37" spans="1:16" x14ac:dyDescent="0.2">
      <c r="A37" s="95"/>
      <c r="B37" s="95"/>
      <c r="C37" s="95"/>
      <c r="D37" s="56"/>
      <c r="E37" s="56"/>
      <c r="F37" s="56"/>
      <c r="G37" s="95"/>
      <c r="H37" s="95"/>
      <c r="I37" s="95"/>
      <c r="J37" s="95"/>
      <c r="K37" s="95"/>
      <c r="L37" s="95"/>
      <c r="M37" s="95"/>
      <c r="N37" s="95"/>
      <c r="O37" s="95"/>
      <c r="P37" s="95"/>
    </row>
    <row r="38" spans="1:16" x14ac:dyDescent="0.2">
      <c r="A38" s="95"/>
      <c r="B38" s="95"/>
      <c r="C38" s="95"/>
      <c r="D38" s="56"/>
      <c r="E38" s="56"/>
      <c r="F38" s="56"/>
      <c r="G38" s="95"/>
      <c r="H38" s="95"/>
      <c r="I38" s="95"/>
      <c r="J38" s="95"/>
      <c r="K38" s="95"/>
      <c r="L38" s="95"/>
      <c r="M38" s="95"/>
      <c r="N38" s="95"/>
      <c r="O38" s="95"/>
      <c r="P38" s="95"/>
    </row>
    <row r="39" spans="1:16" x14ac:dyDescent="0.2">
      <c r="A39" s="95"/>
      <c r="B39" s="95"/>
      <c r="C39" s="95"/>
      <c r="D39" s="56"/>
      <c r="E39" s="56"/>
      <c r="F39" s="56"/>
      <c r="G39" s="95"/>
      <c r="H39" s="95"/>
      <c r="I39" s="95"/>
      <c r="J39" s="95"/>
      <c r="K39" s="95"/>
      <c r="L39" s="95"/>
      <c r="M39" s="95"/>
      <c r="N39" s="95"/>
      <c r="O39" s="95"/>
      <c r="P39" s="95"/>
    </row>
    <row r="40" spans="1:16" x14ac:dyDescent="0.2">
      <c r="A40" s="95"/>
      <c r="B40" s="95"/>
      <c r="C40" s="95"/>
      <c r="D40" s="56"/>
      <c r="E40" s="56"/>
      <c r="F40" s="56"/>
      <c r="G40" s="95"/>
      <c r="H40" s="95"/>
      <c r="I40" s="95"/>
      <c r="J40" s="95"/>
      <c r="K40" s="95"/>
      <c r="L40" s="95"/>
      <c r="M40" s="95"/>
      <c r="N40" s="95"/>
      <c r="O40" s="95"/>
      <c r="P40" s="95"/>
    </row>
    <row r="41" spans="1:16" x14ac:dyDescent="0.2">
      <c r="A41" s="95"/>
      <c r="B41" s="95"/>
      <c r="C41" s="95"/>
      <c r="D41" s="56"/>
      <c r="E41" s="56"/>
      <c r="F41" s="56"/>
      <c r="G41" s="95"/>
      <c r="H41" s="95"/>
      <c r="I41" s="95"/>
      <c r="J41" s="95"/>
      <c r="K41" s="95"/>
      <c r="L41" s="95"/>
      <c r="M41" s="95"/>
      <c r="N41" s="95"/>
      <c r="O41" s="95"/>
      <c r="P41" s="95"/>
    </row>
    <row r="42" spans="1:16" x14ac:dyDescent="0.2">
      <c r="A42" s="95"/>
      <c r="B42" s="95"/>
      <c r="C42" s="95"/>
      <c r="D42" s="56"/>
      <c r="E42" s="56"/>
      <c r="F42" s="56"/>
      <c r="G42" s="95"/>
      <c r="H42" s="95"/>
      <c r="I42" s="95"/>
      <c r="J42" s="95"/>
      <c r="K42" s="95"/>
      <c r="L42" s="95"/>
      <c r="M42" s="95"/>
      <c r="N42" s="95"/>
      <c r="O42" s="95"/>
      <c r="P42" s="95"/>
    </row>
    <row r="43" spans="1:16" x14ac:dyDescent="0.2">
      <c r="A43" s="95"/>
      <c r="B43" s="95"/>
      <c r="C43" s="95"/>
      <c r="D43" s="56"/>
      <c r="E43" s="56"/>
      <c r="F43" s="56"/>
      <c r="G43" s="95"/>
      <c r="H43" s="95"/>
      <c r="I43" s="95"/>
      <c r="J43" s="95"/>
      <c r="K43" s="95"/>
      <c r="L43" s="95"/>
      <c r="M43" s="95"/>
      <c r="N43" s="95"/>
      <c r="O43" s="95"/>
      <c r="P43" s="95"/>
    </row>
    <row r="44" spans="1:16" x14ac:dyDescent="0.2">
      <c r="A44" s="95"/>
      <c r="B44" s="95"/>
      <c r="C44" s="95"/>
      <c r="D44" s="56"/>
      <c r="E44" s="56"/>
      <c r="F44" s="56"/>
      <c r="G44" s="95"/>
      <c r="H44" s="95"/>
      <c r="I44" s="95"/>
      <c r="J44" s="95"/>
      <c r="K44" s="95"/>
      <c r="L44" s="95"/>
      <c r="M44" s="95"/>
      <c r="N44" s="95"/>
      <c r="O44" s="95"/>
      <c r="P44" s="95"/>
    </row>
    <row r="45" spans="1:16" x14ac:dyDescent="0.2">
      <c r="D45" s="55"/>
      <c r="E45" s="55"/>
      <c r="F45" s="55"/>
    </row>
    <row r="46" spans="1:16" x14ac:dyDescent="0.2">
      <c r="D46" s="55"/>
      <c r="E46" s="55"/>
      <c r="F46" s="55"/>
    </row>
    <row r="47" spans="1:16" x14ac:dyDescent="0.2">
      <c r="D47" s="55"/>
      <c r="E47" s="55"/>
      <c r="F47" s="55"/>
    </row>
    <row r="48" spans="1:16" x14ac:dyDescent="0.2">
      <c r="D48" s="55"/>
      <c r="E48" s="55"/>
      <c r="F48" s="55"/>
    </row>
    <row r="49" spans="4:10" x14ac:dyDescent="0.2">
      <c r="D49" s="55"/>
      <c r="E49" s="55"/>
      <c r="F49" s="55"/>
    </row>
    <row r="50" spans="4:10" x14ac:dyDescent="0.2">
      <c r="D50" s="55"/>
      <c r="E50" s="55"/>
      <c r="F50" s="55"/>
    </row>
    <row r="51" spans="4:10" x14ac:dyDescent="0.2">
      <c r="D51" s="55"/>
      <c r="E51" s="55"/>
      <c r="F51" s="55"/>
    </row>
    <row r="52" spans="4:10" x14ac:dyDescent="0.2">
      <c r="D52" s="55"/>
      <c r="E52" s="55"/>
      <c r="F52" s="55"/>
    </row>
    <row r="53" spans="4:10" x14ac:dyDescent="0.2">
      <c r="D53" s="55"/>
      <c r="E53" s="55"/>
      <c r="F53" s="55"/>
    </row>
    <row r="54" spans="4:10" x14ac:dyDescent="0.2">
      <c r="D54" s="55"/>
      <c r="E54" s="55"/>
      <c r="F54" s="55"/>
    </row>
    <row r="55" spans="4:10" x14ac:dyDescent="0.2">
      <c r="D55" s="55"/>
      <c r="E55" s="55"/>
      <c r="F55" s="55"/>
    </row>
    <row r="56" spans="4:10" x14ac:dyDescent="0.2">
      <c r="D56" s="55"/>
      <c r="E56" s="55"/>
      <c r="F56" s="55"/>
      <c r="J56" s="105"/>
    </row>
    <row r="57" spans="4:10" x14ac:dyDescent="0.2">
      <c r="D57" s="55"/>
      <c r="E57" s="55"/>
      <c r="F57" s="55"/>
    </row>
    <row r="58" spans="4:10" x14ac:dyDescent="0.2">
      <c r="D58" s="55"/>
      <c r="E58" s="55"/>
      <c r="F58" s="55"/>
    </row>
    <row r="59" spans="4:10" x14ac:dyDescent="0.2">
      <c r="D59" s="55"/>
      <c r="E59" s="55"/>
      <c r="F59" s="55"/>
    </row>
    <row r="60" spans="4:10" x14ac:dyDescent="0.2">
      <c r="D60" s="55"/>
      <c r="E60" s="55"/>
      <c r="F60" s="55"/>
    </row>
    <row r="61" spans="4:10" x14ac:dyDescent="0.2">
      <c r="D61" s="55"/>
      <c r="E61" s="55"/>
      <c r="F61" s="55"/>
    </row>
    <row r="62" spans="4:10" x14ac:dyDescent="0.2">
      <c r="D62" s="55"/>
      <c r="E62" s="55"/>
      <c r="F62" s="55"/>
      <c r="J62" s="105"/>
    </row>
    <row r="63" spans="4:10" x14ac:dyDescent="0.2">
      <c r="D63" s="55"/>
      <c r="E63" s="55"/>
      <c r="F63" s="55"/>
    </row>
    <row r="64" spans="4:10" x14ac:dyDescent="0.2">
      <c r="J64" s="55"/>
    </row>
    <row r="88" spans="4:14" x14ac:dyDescent="0.2">
      <c r="D88" s="55"/>
      <c r="E88" s="55"/>
      <c r="F88" s="55"/>
    </row>
    <row r="89" spans="4:14" x14ac:dyDescent="0.2">
      <c r="D89" s="55"/>
      <c r="E89" s="55"/>
      <c r="F89" s="55"/>
    </row>
    <row r="90" spans="4:14" x14ac:dyDescent="0.2">
      <c r="D90" s="55"/>
      <c r="E90" s="55"/>
      <c r="F90" s="55"/>
    </row>
    <row r="91" spans="4:14" x14ac:dyDescent="0.2">
      <c r="D91" s="55"/>
      <c r="E91" s="55"/>
      <c r="F91" s="55"/>
    </row>
    <row r="92" spans="4:14" x14ac:dyDescent="0.2">
      <c r="D92" s="55"/>
      <c r="E92" s="55"/>
      <c r="F92" s="55"/>
    </row>
    <row r="93" spans="4:14" x14ac:dyDescent="0.2">
      <c r="D93" s="55"/>
      <c r="E93" s="55"/>
      <c r="F93" s="55"/>
      <c r="N93" s="55"/>
    </row>
    <row r="94" spans="4:14" x14ac:dyDescent="0.2">
      <c r="D94" s="55"/>
      <c r="E94" s="55"/>
      <c r="F94" s="55"/>
    </row>
    <row r="95" spans="4:14" x14ac:dyDescent="0.2">
      <c r="D95" s="55"/>
      <c r="E95" s="55"/>
      <c r="F95" s="55"/>
    </row>
    <row r="96" spans="4:14" x14ac:dyDescent="0.2">
      <c r="D96" s="55"/>
      <c r="E96" s="55"/>
      <c r="F96" s="55"/>
    </row>
    <row r="97" spans="4:6" x14ac:dyDescent="0.2">
      <c r="D97" s="55"/>
      <c r="E97" s="55"/>
      <c r="F97" s="55"/>
    </row>
    <row r="98" spans="4:6" x14ac:dyDescent="0.2">
      <c r="D98" s="55"/>
      <c r="E98" s="55"/>
      <c r="F98" s="55"/>
    </row>
    <row r="99" spans="4:6" x14ac:dyDescent="0.2">
      <c r="D99" s="55"/>
      <c r="E99" s="55"/>
      <c r="F99" s="55"/>
    </row>
    <row r="100" spans="4:6" x14ac:dyDescent="0.2">
      <c r="D100" s="55"/>
      <c r="E100" s="55"/>
      <c r="F100" s="55"/>
    </row>
    <row r="101" spans="4:6" x14ac:dyDescent="0.2">
      <c r="D101" s="55"/>
      <c r="E101" s="55"/>
      <c r="F101" s="55"/>
    </row>
    <row r="102" spans="4:6" x14ac:dyDescent="0.2">
      <c r="D102" s="55"/>
      <c r="E102" s="55"/>
      <c r="F102" s="55"/>
    </row>
    <row r="103" spans="4:6" x14ac:dyDescent="0.2">
      <c r="D103" s="55"/>
      <c r="E103" s="55"/>
      <c r="F103" s="55"/>
    </row>
    <row r="104" spans="4:6" x14ac:dyDescent="0.2">
      <c r="D104" s="55"/>
      <c r="E104" s="55"/>
      <c r="F104" s="55"/>
    </row>
    <row r="105" spans="4:6" x14ac:dyDescent="0.2">
      <c r="D105" s="55"/>
      <c r="E105" s="55"/>
      <c r="F105" s="55"/>
    </row>
    <row r="106" spans="4:6" x14ac:dyDescent="0.2">
      <c r="D106" s="55"/>
      <c r="E106" s="55"/>
      <c r="F106" s="55"/>
    </row>
    <row r="107" spans="4:6" x14ac:dyDescent="0.2">
      <c r="D107" s="55"/>
      <c r="E107" s="55"/>
      <c r="F107" s="55"/>
    </row>
    <row r="108" spans="4:6" x14ac:dyDescent="0.2">
      <c r="D108" s="55"/>
      <c r="E108" s="55"/>
      <c r="F108" s="55"/>
    </row>
    <row r="109" spans="4:6" x14ac:dyDescent="0.2">
      <c r="D109" s="55"/>
      <c r="E109" s="55"/>
      <c r="F109" s="55"/>
    </row>
    <row r="110" spans="4:6" x14ac:dyDescent="0.2">
      <c r="D110" s="55"/>
      <c r="E110" s="55"/>
      <c r="F110" s="55"/>
    </row>
    <row r="111" spans="4:6" x14ac:dyDescent="0.2">
      <c r="D111" s="55"/>
      <c r="E111" s="55"/>
      <c r="F111" s="55"/>
    </row>
    <row r="112" spans="4:6" x14ac:dyDescent="0.2">
      <c r="D112" s="55"/>
      <c r="E112" s="55"/>
      <c r="F112" s="55"/>
    </row>
    <row r="113" spans="4:6" x14ac:dyDescent="0.2">
      <c r="D113" s="55"/>
      <c r="E113" s="55"/>
      <c r="F113" s="55"/>
    </row>
    <row r="114" spans="4:6" x14ac:dyDescent="0.2">
      <c r="D114" s="55"/>
      <c r="E114" s="55"/>
      <c r="F114" s="55"/>
    </row>
    <row r="115" spans="4:6" x14ac:dyDescent="0.2">
      <c r="D115" s="55"/>
      <c r="E115" s="55"/>
      <c r="F115" s="55"/>
    </row>
    <row r="116" spans="4:6" x14ac:dyDescent="0.2">
      <c r="D116" s="55"/>
      <c r="E116" s="55"/>
      <c r="F116" s="55"/>
    </row>
    <row r="117" spans="4:6" x14ac:dyDescent="0.2">
      <c r="D117" s="55"/>
      <c r="E117" s="55"/>
      <c r="F117" s="55"/>
    </row>
    <row r="118" spans="4:6" x14ac:dyDescent="0.2">
      <c r="D118" s="55"/>
      <c r="E118" s="55"/>
      <c r="F118" s="55"/>
    </row>
    <row r="119" spans="4:6" x14ac:dyDescent="0.2">
      <c r="D119" s="55"/>
      <c r="E119" s="55"/>
      <c r="F119" s="55"/>
    </row>
    <row r="120" spans="4:6" x14ac:dyDescent="0.2">
      <c r="D120" s="55"/>
      <c r="E120" s="55"/>
      <c r="F120" s="55"/>
    </row>
    <row r="121" spans="4:6" x14ac:dyDescent="0.2">
      <c r="D121" s="55"/>
      <c r="E121" s="55"/>
      <c r="F121" s="55"/>
    </row>
    <row r="122" spans="4:6" x14ac:dyDescent="0.2">
      <c r="D122" s="55"/>
      <c r="E122" s="55"/>
      <c r="F122" s="55"/>
    </row>
    <row r="123" spans="4:6" x14ac:dyDescent="0.2">
      <c r="D123" s="55"/>
      <c r="E123" s="55"/>
      <c r="F123" s="55"/>
    </row>
    <row r="124" spans="4:6" x14ac:dyDescent="0.2">
      <c r="D124" s="55"/>
      <c r="E124" s="55"/>
      <c r="F124" s="55"/>
    </row>
    <row r="125" spans="4:6" x14ac:dyDescent="0.2">
      <c r="D125" s="55"/>
      <c r="E125" s="55"/>
      <c r="F125" s="55"/>
    </row>
    <row r="126" spans="4:6" x14ac:dyDescent="0.2">
      <c r="D126" s="55"/>
      <c r="E126" s="55"/>
      <c r="F126" s="55"/>
    </row>
    <row r="127" spans="4:6" x14ac:dyDescent="0.2">
      <c r="D127" s="55"/>
      <c r="E127" s="55"/>
      <c r="F127" s="55"/>
    </row>
    <row r="128" spans="4:6" x14ac:dyDescent="0.2">
      <c r="D128" s="55"/>
      <c r="E128" s="55"/>
      <c r="F128" s="55"/>
    </row>
    <row r="129" spans="4:6" x14ac:dyDescent="0.2">
      <c r="D129" s="55"/>
      <c r="E129" s="55"/>
      <c r="F129" s="55"/>
    </row>
    <row r="130" spans="4:6" x14ac:dyDescent="0.2">
      <c r="D130" s="55"/>
      <c r="E130" s="55"/>
      <c r="F130" s="55"/>
    </row>
    <row r="131" spans="4:6" x14ac:dyDescent="0.2">
      <c r="D131" s="55"/>
      <c r="E131" s="55"/>
      <c r="F131" s="55"/>
    </row>
    <row r="132" spans="4:6" x14ac:dyDescent="0.2">
      <c r="D132" s="55"/>
      <c r="E132" s="55"/>
      <c r="F132" s="55"/>
    </row>
    <row r="133" spans="4:6" x14ac:dyDescent="0.2">
      <c r="D133" s="55"/>
      <c r="E133" s="55"/>
      <c r="F133" s="55"/>
    </row>
    <row r="134" spans="4:6" x14ac:dyDescent="0.2">
      <c r="D134" s="55"/>
      <c r="E134" s="55"/>
      <c r="F134" s="55"/>
    </row>
    <row r="135" spans="4:6" x14ac:dyDescent="0.2">
      <c r="D135" s="55"/>
      <c r="E135" s="55"/>
      <c r="F135" s="55"/>
    </row>
    <row r="136" spans="4:6" x14ac:dyDescent="0.2">
      <c r="D136" s="55"/>
      <c r="E136" s="55"/>
      <c r="F136" s="55"/>
    </row>
    <row r="137" spans="4:6" x14ac:dyDescent="0.2">
      <c r="D137" s="55"/>
      <c r="E137" s="55"/>
      <c r="F137" s="55"/>
    </row>
    <row r="138" spans="4:6" x14ac:dyDescent="0.2">
      <c r="D138" s="55"/>
      <c r="E138" s="55"/>
      <c r="F138" s="55"/>
    </row>
    <row r="139" spans="4:6" x14ac:dyDescent="0.2">
      <c r="D139" s="55"/>
      <c r="E139" s="55"/>
      <c r="F139" s="55"/>
    </row>
    <row r="140" spans="4:6" x14ac:dyDescent="0.2">
      <c r="D140" s="55"/>
      <c r="E140" s="55"/>
      <c r="F140" s="55"/>
    </row>
    <row r="141" spans="4:6" x14ac:dyDescent="0.2">
      <c r="D141" s="55"/>
      <c r="E141" s="55"/>
      <c r="F141" s="55"/>
    </row>
    <row r="142" spans="4:6" x14ac:dyDescent="0.2">
      <c r="D142" s="55"/>
      <c r="E142" s="55"/>
      <c r="F142" s="55"/>
    </row>
    <row r="143" spans="4:6" x14ac:dyDescent="0.2">
      <c r="D143" s="55"/>
      <c r="E143" s="55"/>
      <c r="F143" s="55"/>
    </row>
    <row r="144" spans="4:6" x14ac:dyDescent="0.2">
      <c r="D144" s="55"/>
      <c r="E144" s="55"/>
      <c r="F144" s="55"/>
    </row>
    <row r="168" spans="9:10" x14ac:dyDescent="0.2">
      <c r="J168" s="106">
        <v>41426</v>
      </c>
    </row>
    <row r="169" spans="9:10" x14ac:dyDescent="0.2">
      <c r="I169" s="106">
        <f>+J168</f>
        <v>41426</v>
      </c>
      <c r="J169" s="106">
        <v>41518</v>
      </c>
    </row>
  </sheetData>
  <mergeCells count="2">
    <mergeCell ref="A3:L3"/>
    <mergeCell ref="A25:P25"/>
  </mergeCells>
  <pageMargins left="0.75" right="0.75" top="1" bottom="1" header="0.5" footer="0.5"/>
  <pageSetup scale="53" orientation="portrait" r:id="rId1"/>
  <headerFooter alignWithMargins="0">
    <oddFooter>&amp;RPage7</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112" customWidth="1"/>
    <col min="2" max="3" width="2.28515625" style="112" customWidth="1"/>
    <col min="4" max="5" width="10.7109375" style="112" customWidth="1"/>
    <col min="6" max="6" width="8.7109375" style="112" customWidth="1"/>
    <col min="7" max="11" width="17.140625" style="112" customWidth="1"/>
    <col min="12" max="12" width="15.85546875" style="112" customWidth="1"/>
    <col min="13" max="16384" width="9.140625" style="112"/>
  </cols>
  <sheetData>
    <row r="1" spans="1:12" s="113" customFormat="1" ht="42.75" customHeight="1" x14ac:dyDescent="0.2">
      <c r="A1" s="112" t="s">
        <v>30</v>
      </c>
      <c r="B1" s="112"/>
      <c r="D1" s="114"/>
      <c r="E1" s="112"/>
      <c r="F1" s="112"/>
      <c r="G1" s="112"/>
      <c r="I1" s="115"/>
      <c r="J1" s="112"/>
      <c r="K1" s="112"/>
      <c r="L1" s="112"/>
    </row>
    <row r="2" spans="1:12" s="113" customFormat="1" ht="40.5" customHeight="1" x14ac:dyDescent="0.2">
      <c r="A2" s="112"/>
      <c r="B2" s="112"/>
      <c r="D2" s="114"/>
      <c r="E2" s="112"/>
      <c r="F2" s="112"/>
      <c r="G2" s="112"/>
      <c r="I2" s="115"/>
      <c r="J2" s="112"/>
      <c r="K2" s="112"/>
      <c r="L2" s="112"/>
    </row>
    <row r="3" spans="1:12" s="116" customFormat="1" ht="27.75" customHeight="1" x14ac:dyDescent="0.25">
      <c r="A3" s="326" t="s">
        <v>45</v>
      </c>
      <c r="B3" s="326"/>
      <c r="C3" s="326"/>
      <c r="D3" s="326"/>
      <c r="E3" s="326"/>
      <c r="F3" s="326"/>
      <c r="G3" s="326"/>
      <c r="H3" s="326"/>
      <c r="I3" s="326"/>
      <c r="J3" s="326"/>
      <c r="K3" s="326"/>
      <c r="L3" s="326"/>
    </row>
    <row r="4" spans="1:12" s="113" customFormat="1" x14ac:dyDescent="0.2">
      <c r="A4" s="112"/>
      <c r="B4" s="112"/>
      <c r="C4" s="117"/>
      <c r="D4" s="112"/>
      <c r="E4" s="112"/>
      <c r="F4" s="112"/>
      <c r="G4" s="112"/>
      <c r="H4" s="112"/>
      <c r="I4" s="112"/>
      <c r="J4" s="112"/>
      <c r="K4" s="112"/>
      <c r="L4" s="112"/>
    </row>
    <row r="5" spans="1:12" s="113" customFormat="1" x14ac:dyDescent="0.2">
      <c r="A5" s="118"/>
      <c r="B5" s="118"/>
      <c r="C5" s="118"/>
      <c r="D5" s="118"/>
      <c r="E5" s="118"/>
      <c r="F5" s="118"/>
      <c r="G5" s="118"/>
      <c r="H5" s="118"/>
      <c r="I5" s="118"/>
      <c r="J5" s="118"/>
      <c r="K5" s="118"/>
      <c r="L5" s="118"/>
    </row>
    <row r="6" spans="1:12" s="113" customFormat="1" x14ac:dyDescent="0.2">
      <c r="A6" s="112"/>
      <c r="B6" s="112"/>
      <c r="C6" s="112"/>
      <c r="D6" s="112"/>
      <c r="E6" s="112"/>
      <c r="F6" s="112"/>
      <c r="G6" s="112"/>
      <c r="H6" s="112"/>
      <c r="I6" s="112"/>
      <c r="J6" s="112"/>
      <c r="K6" s="112"/>
      <c r="L6" s="112"/>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Vento, Diane (Houston)</cp:lastModifiedBy>
  <cp:lastPrinted>2014-02-17T21:40:40Z</cp:lastPrinted>
  <dcterms:created xsi:type="dcterms:W3CDTF">1999-09-27T19:46:10Z</dcterms:created>
  <dcterms:modified xsi:type="dcterms:W3CDTF">2014-02-18T16:21:02Z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