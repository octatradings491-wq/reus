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255" yWindow="210" windowWidth="17955" windowHeight="8910" tabRatio="491"/>
  </bookViews>
  <sheets>
    <sheet name="Cover" sheetId="8" r:id="rId1"/>
    <sheet name="Report" sheetId="13" r:id="rId2"/>
    <sheet name="Footnotes" sheetId="2" r:id="rId3"/>
    <sheet name="Disclaimers&amp;Definitions " sheetId="9" r:id="rId4"/>
  </sheets>
  <externalReferences>
    <externalReference r:id="rId5"/>
  </externalReferences>
  <definedNames>
    <definedName name="_xlnm._FilterDatabase" localSheetId="1" hidden="1">Report!$A$9:$J$9</definedName>
    <definedName name="_xlnm.Print_Area" localSheetId="0">Cover!$A$1:$X$17</definedName>
    <definedName name="_xlnm.Print_Area" localSheetId="3">'Disclaimers&amp;Definitions '!$A$1:$L$70</definedName>
    <definedName name="_xlnm.Print_Area" localSheetId="2">Footnotes!$B$1:$N$17</definedName>
    <definedName name="_xlnm.Print_Area" localSheetId="1">Report!$A$1:$R$33</definedName>
    <definedName name="_xlnm.Print_Titles" localSheetId="2">Footnotes!$1:$6</definedName>
    <definedName name="_xlnm.Print_Titles" localSheetId="1">Report!$A:$A,Report!$1:$9</definedName>
    <definedName name="Z_2B5E9AF3_7E15_4FFC_BC57_F18A8661CB86_.wvu.PrintArea" localSheetId="3" hidden="1">'Disclaimers&amp;Definitions '!$A$1:$L$6</definedName>
    <definedName name="Z_2B5E9AF3_7E15_4FFC_BC57_F18A8661CB86_.wvu.PrintArea" localSheetId="2" hidden="1">Footnotes!$C$1:$N$17</definedName>
    <definedName name="Z_2B5E9AF3_7E15_4FFC_BC57_F18A8661CB86_.wvu.PrintArea" localSheetId="1" hidden="1">Report!$A$1:$M$30</definedName>
    <definedName name="Z_2B5E9AF3_7E15_4FFC_BC57_F18A8661CB86_.wvu.PrintTitles" localSheetId="2" hidden="1">Footnotes!$1:$6</definedName>
    <definedName name="Z_2B5E9AF3_7E15_4FFC_BC57_F18A8661CB86_.wvu.PrintTitles" localSheetId="1" hidden="1">Report!$A:$A,Report!$1:$9</definedName>
    <definedName name="Z_6B3EFEE6_6D4B_487B_9131_15FDA5ABAE22_.wvu.PrintArea" localSheetId="3" hidden="1">'Disclaimers&amp;Definitions '!$A$1:$L$6</definedName>
    <definedName name="Z_6B3EFEE6_6D4B_487B_9131_15FDA5ABAE22_.wvu.PrintArea" localSheetId="2" hidden="1">Footnotes!$C$1:$N$17</definedName>
    <definedName name="Z_6B3EFEE6_6D4B_487B_9131_15FDA5ABAE22_.wvu.PrintArea" localSheetId="1" hidden="1">Report!$A$1:$M$30</definedName>
    <definedName name="Z_6B3EFEE6_6D4B_487B_9131_15FDA5ABAE22_.wvu.PrintTitles" localSheetId="2" hidden="1">Footnotes!$1:$6</definedName>
    <definedName name="Z_6B3EFEE6_6D4B_487B_9131_15FDA5ABAE22_.wvu.PrintTitles" localSheetId="1" hidden="1">Report!$A:$A,Report!$1:$9</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B2" i="2" l="1"/>
  <c r="O16" i="13" l="1"/>
  <c r="P16" i="13"/>
  <c r="Q16" i="13"/>
  <c r="R16" i="13"/>
  <c r="AE16" i="13" s="1"/>
  <c r="O17" i="13"/>
  <c r="P17" i="13"/>
  <c r="Q17" i="13"/>
  <c r="R17" i="13"/>
  <c r="AE17" i="13" s="1"/>
  <c r="O20" i="13"/>
  <c r="P20" i="13"/>
  <c r="Q20" i="13"/>
  <c r="R20" i="13"/>
  <c r="R30" i="13"/>
  <c r="Q30" i="13"/>
  <c r="P30" i="13"/>
  <c r="O30" i="13"/>
  <c r="M29" i="13"/>
  <c r="J29" i="13"/>
  <c r="M28" i="13"/>
  <c r="J28" i="13"/>
  <c r="M27" i="13"/>
  <c r="J27" i="13"/>
  <c r="R26" i="13"/>
  <c r="AE26" i="13" s="1"/>
  <c r="Q26" i="13"/>
  <c r="P26" i="13"/>
  <c r="O26" i="13"/>
  <c r="R25" i="13"/>
  <c r="AE25" i="13" s="1"/>
  <c r="Q25" i="13"/>
  <c r="P25" i="13"/>
  <c r="O25" i="13"/>
  <c r="R24" i="13"/>
  <c r="Q24" i="13"/>
  <c r="P24" i="13"/>
  <c r="O24" i="13"/>
  <c r="R22" i="13"/>
  <c r="Q22" i="13"/>
  <c r="P22" i="13"/>
  <c r="O22" i="13"/>
  <c r="R21" i="13"/>
  <c r="AE21" i="13" s="1"/>
  <c r="Q21" i="13"/>
  <c r="P21" i="13"/>
  <c r="O21" i="13"/>
  <c r="M15" i="13"/>
  <c r="R14" i="13"/>
  <c r="AE14" i="13" s="1"/>
  <c r="Q14" i="13"/>
  <c r="P14" i="13"/>
  <c r="O14" i="13"/>
  <c r="R13" i="13"/>
  <c r="AE13" i="13" s="1"/>
  <c r="Q13" i="13"/>
  <c r="P13" i="13"/>
  <c r="O13" i="13"/>
</calcChain>
</file>

<file path=xl/sharedStrings.xml><?xml version="1.0" encoding="utf-8"?>
<sst xmlns="http://schemas.openxmlformats.org/spreadsheetml/2006/main" count="135" uniqueCount="94">
  <si>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</si>
  <si>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</si>
  <si>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</si>
  <si>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Husky</t>
  </si>
  <si>
    <t>Rig Type/Name</t>
  </si>
  <si>
    <t>Water</t>
  </si>
  <si>
    <t>Depth</t>
  </si>
  <si>
    <t>Service</t>
  </si>
  <si>
    <t>1983/1992</t>
  </si>
  <si>
    <t>Location</t>
  </si>
  <si>
    <t>USGOM</t>
  </si>
  <si>
    <t>UKNS</t>
  </si>
  <si>
    <t>Australia</t>
  </si>
  <si>
    <t>India</t>
  </si>
  <si>
    <t>ONGC</t>
  </si>
  <si>
    <t>N/A</t>
  </si>
  <si>
    <t>BP</t>
  </si>
  <si>
    <t>1983/1996</t>
  </si>
  <si>
    <t xml:space="preserve"> </t>
  </si>
  <si>
    <t>ship</t>
  </si>
  <si>
    <t>semi</t>
  </si>
  <si>
    <t>Floater</t>
  </si>
  <si>
    <t>Type</t>
  </si>
  <si>
    <t>Reliance</t>
  </si>
  <si>
    <t>Nexen</t>
  </si>
  <si>
    <t>«</t>
  </si>
  <si>
    <t>Entered</t>
  </si>
  <si>
    <t>Estimated</t>
  </si>
  <si>
    <t>(Feet)</t>
  </si>
  <si>
    <t>(Dollars)</t>
  </si>
  <si>
    <t>Canada</t>
  </si>
  <si>
    <t>Footnotes</t>
  </si>
  <si>
    <t>DISCLAIMERS &amp; DEFINITIONS</t>
  </si>
  <si>
    <t>Midwater Floaters</t>
  </si>
  <si>
    <t>Customer</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</si>
  <si>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</si>
  <si>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</si>
  <si>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</si>
  <si>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</si>
  <si>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</si>
  <si>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</si>
  <si>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</si>
  <si>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</si>
  <si>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</si>
  <si>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</si>
  <si>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</si>
  <si>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</si>
  <si>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</si>
  <si>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</si>
  <si>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</si>
  <si>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</si>
  <si>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</si>
  <si>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Conoco Phillips</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</si>
  <si>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</si>
  <si>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</si>
  <si>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</si>
  <si>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</si>
  <si>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</si>
  <si>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</si>
  <si>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</si>
  <si>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</si>
  <si>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</si>
  <si>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</si>
  <si>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</si>
  <si>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Ultra-Deepwater</t>
  </si>
  <si>
    <t>Dhirubhai Deepwater KG2</t>
  </si>
  <si>
    <t>Deepwater Millennium</t>
  </si>
  <si>
    <t>GSF Development Driller I</t>
  </si>
  <si>
    <t>GSF Development Driller II</t>
  </si>
  <si>
    <t>M.G. Hulme, Jr.</t>
  </si>
  <si>
    <t>GSF Grand Banks</t>
  </si>
  <si>
    <t>Transocean Prospect</t>
  </si>
  <si>
    <t>Revisions Noted in Bold</t>
  </si>
  <si>
    <t>Q4</t>
  </si>
  <si>
    <t>Q1</t>
  </si>
  <si>
    <t>Q2</t>
  </si>
  <si>
    <t>Q3</t>
  </si>
  <si>
    <t>Prev</t>
  </si>
  <si>
    <t>The contract is expected to start in the quarter indicated.  Factors that could influence the contract start date include shipyard delivery, customer acceptance, and mobilization to operating location, among others.</t>
  </si>
  <si>
    <t>(6), (8)</t>
  </si>
  <si>
    <t>High Specification Floater: Deepwater</t>
  </si>
  <si>
    <t>For the period of time that this rig is contracted to Applied Drilling Technology International, the drilling management services division of the company's U.K. operating subsidiary, accounting rules require that we eliminate the revenues and costs related to those contracts from the contract drilling segment of the consolidated statement of operations.  Revenues from turnkey contracts will be recognized in other revenues and are contingent upon successful completion of the well program.</t>
  </si>
  <si>
    <r>
      <t xml:space="preserve">Estimated Out of Service Days </t>
    </r>
    <r>
      <rPr>
        <b/>
        <vertAlign val="superscript"/>
        <sz val="10"/>
        <color theme="0"/>
        <rFont val="Arial"/>
        <family val="2"/>
      </rPr>
      <t>(4)</t>
    </r>
  </si>
  <si>
    <t>Woodside</t>
  </si>
  <si>
    <t xml:space="preserve">Estimated Contract Start and Estimated Expiration Dates are calculated as follows: (1) for events estimated to occur between the 1st and 15th of a month, the previous month is reported (i.e. a contract which is estimated to commence on May 4, 2013 will be reported as commencing in April 2013) and (2) for events estimated to occur between the 16th and the end of a month, the actual month is reported (i.e. a contract which is estimated to commence on May 24, 2013 will be reported as commencing in May 2013).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</si>
  <si>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Idle</t>
  </si>
  <si>
    <t>Current</t>
  </si>
  <si>
    <t>Previous</t>
  </si>
  <si>
    <r>
      <t xml:space="preserve">Contract </t>
    </r>
    <r>
      <rPr>
        <b/>
        <vertAlign val="superscript"/>
        <sz val="10"/>
        <color theme="0"/>
        <rFont val="Arial"/>
        <family val="2"/>
      </rPr>
      <t>(3)</t>
    </r>
  </si>
  <si>
    <r>
      <t xml:space="preserve"> Contract </t>
    </r>
    <r>
      <rPr>
        <b/>
        <vertAlign val="superscript"/>
        <sz val="10"/>
        <color theme="0"/>
        <rFont val="Arial"/>
        <family val="2"/>
      </rPr>
      <t>(3)</t>
    </r>
  </si>
  <si>
    <t>High Specification Jackups</t>
  </si>
  <si>
    <t>GSF Galaxy III</t>
  </si>
  <si>
    <t xml:space="preserve"> (6), (7)</t>
  </si>
  <si>
    <t>Updated: March 17,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</si>
</sst>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_(* #,##0_);_(* \(#,##0\);_(* &quot;-&quot;??_);_(@_)"/>
    <numFmt numFmtId="167" formatCode="#,##0.0%;[Red]\(#,##0.0%\)"/>
  </numFmts>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sz val="12"/>
      <color theme="0"/>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CCFFCC"/>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51">
    <xf numFmtId="0" fontId="0" fillId="0" borderId="0"/>
    <xf numFmtId="0" fontId="5" fillId="2" borderId="0" applyNumberFormat="0" applyFont="0" applyAlignment="0">
      <alignment vertical="top"/>
    </xf>
    <xf numFmtId="0" fontId="6" fillId="2" borderId="0" applyNumberFormat="0" applyFont="0" applyAlignment="0">
      <alignment vertical="top" wrapText="1"/>
    </xf>
    <xf numFmtId="0" fontId="4" fillId="2" borderId="0" applyNumberFormat="0" applyFont="0" applyAlignment="0">
      <alignment vertical="top" wrapText="1"/>
    </xf>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7"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17"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43" fontId="31" fillId="0" borderId="0" applyFont="0" applyFill="0" applyBorder="0" applyAlignment="0" applyProtection="0"/>
    <xf numFmtId="0" fontId="3" fillId="0" borderId="0"/>
    <xf numFmtId="0" fontId="31" fillId="0" borderId="0"/>
    <xf numFmtId="9" fontId="31" fillId="0" borderId="0" applyFont="0" applyFill="0" applyBorder="0" applyAlignment="0" applyProtection="0"/>
    <xf numFmtId="41" fontId="4" fillId="8" borderId="0" applyNumberFormat="0" applyFont="0" applyBorder="0" applyAlignment="0" applyProtection="0"/>
    <xf numFmtId="0" fontId="32" fillId="0" borderId="0" applyNumberFormat="0" applyFill="0" applyBorder="0" applyAlignment="0" applyProtection="0"/>
    <xf numFmtId="0" fontId="33" fillId="0" borderId="2">
      <alignment horizontal="left" vertical="center"/>
    </xf>
    <xf numFmtId="167" fontId="4" fillId="0" borderId="0"/>
    <xf numFmtId="0" fontId="33" fillId="0" borderId="16" applyNumberFormat="0" applyAlignment="0" applyProtection="0">
      <alignment horizontal="left" vertical="center"/>
    </xf>
    <xf numFmtId="43" fontId="3" fillId="0" borderId="0" applyFont="0" applyFill="0" applyBorder="0" applyAlignment="0" applyProtection="0"/>
    <xf numFmtId="44" fontId="31" fillId="0" borderId="0" applyFont="0" applyFill="0" applyBorder="0" applyAlignment="0" applyProtection="0"/>
    <xf numFmtId="43" fontId="3" fillId="0" borderId="0" applyFont="0" applyFill="0" applyBorder="0" applyAlignment="0" applyProtection="0"/>
    <xf numFmtId="37" fontId="34" fillId="0" borderId="0"/>
    <xf numFmtId="0" fontId="3" fillId="0" borderId="0"/>
    <xf numFmtId="49" fontId="35" fillId="0" borderId="0" applyFill="0" applyBorder="0" applyProtection="0">
      <alignment horizontal="left"/>
    </xf>
    <xf numFmtId="0" fontId="3" fillId="0" borderId="0"/>
    <xf numFmtId="0" fontId="3" fillId="0" borderId="0"/>
    <xf numFmtId="0" fontId="4" fillId="0" borderId="0"/>
    <xf numFmtId="0" fontId="4" fillId="0" borderId="0"/>
    <xf numFmtId="0" fontId="4" fillId="0" borderId="0"/>
    <xf numFmtId="0" fontId="2" fillId="0" borderId="0"/>
    <xf numFmtId="43" fontId="2" fillId="0" borderId="0" applyFont="0" applyFill="0" applyBorder="0" applyAlignment="0" applyProtection="0"/>
    <xf numFmtId="0" fontId="4"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259">
    <xf numFmtId="0" fontId="0" fillId="0" borderId="0" xfId="0"/>
    <xf numFmtId="0" fontId="6" fillId="0" borderId="0" xfId="0" applyFont="1" applyFill="1" applyBorder="1" applyAlignment="1">
      <alignment horizontal="center" vertical="top"/>
    </xf>
    <xf numFmtId="0" fontId="6" fillId="0" borderId="0" xfId="0" applyFont="1" applyFill="1" applyBorder="1" applyAlignment="1">
      <alignment vertical="top"/>
    </xf>
    <xf numFmtId="3" fontId="6" fillId="0" borderId="0" xfId="0" applyNumberFormat="1" applyFont="1" applyFill="1" applyBorder="1" applyAlignment="1">
      <alignment horizontal="center" vertical="top"/>
    </xf>
    <xf numFmtId="0" fontId="5" fillId="0" borderId="0" xfId="0" applyFont="1" applyFill="1" applyBorder="1" applyAlignment="1">
      <alignment horizontal="center"/>
    </xf>
    <xf numFmtId="0" fontId="5" fillId="0" borderId="0" xfId="0" applyFont="1" applyFill="1" applyBorder="1"/>
    <xf numFmtId="0" fontId="9" fillId="0" borderId="0" xfId="0" applyFont="1" applyFill="1"/>
    <xf numFmtId="0" fontId="4" fillId="0" borderId="0" xfId="0" applyFont="1" applyFill="1"/>
    <xf numFmtId="0" fontId="6" fillId="0" borderId="0" xfId="0" applyFont="1" applyFill="1" applyAlignment="1">
      <alignment vertical="center"/>
    </xf>
    <xf numFmtId="0" fontId="6" fillId="0" borderId="0" xfId="0" applyFont="1" applyFill="1" applyAlignment="1">
      <alignment horizontal="left"/>
    </xf>
    <xf numFmtId="165" fontId="9" fillId="0" borderId="0" xfId="0" applyNumberFormat="1" applyFont="1" applyFill="1" applyAlignment="1">
      <alignment vertical="center"/>
    </xf>
    <xf numFmtId="0" fontId="13" fillId="0" borderId="0" xfId="0" applyFont="1" applyFill="1" applyBorder="1" applyAlignment="1">
      <alignment vertical="top"/>
    </xf>
    <xf numFmtId="3" fontId="6" fillId="0" borderId="2" xfId="2" applyNumberFormat="1" applyFont="1" applyFill="1" applyBorder="1" applyAlignment="1">
      <alignment horizontal="center" vertical="top"/>
    </xf>
    <xf numFmtId="0" fontId="6" fillId="0" borderId="2" xfId="2" applyFont="1" applyFill="1" applyBorder="1" applyAlignment="1">
      <alignment horizontal="center" vertical="top" wrapText="1"/>
    </xf>
    <xf numFmtId="0" fontId="6" fillId="0" borderId="2" xfId="2" applyFont="1" applyFill="1" applyBorder="1" applyAlignment="1">
      <alignment horizontal="center" vertical="top"/>
    </xf>
    <xf numFmtId="0" fontId="8" fillId="0" borderId="2" xfId="2" applyFont="1" applyFill="1" applyBorder="1" applyAlignment="1">
      <alignment horizontal="center" vertical="top"/>
    </xf>
    <xf numFmtId="1" fontId="6" fillId="0" borderId="2" xfId="2" applyNumberFormat="1" applyFont="1" applyFill="1" applyBorder="1" applyAlignment="1">
      <alignment horizontal="center" vertical="top"/>
    </xf>
    <xf numFmtId="17" fontId="6" fillId="0" borderId="2" xfId="2" applyNumberFormat="1" applyFont="1" applyFill="1" applyBorder="1" applyAlignment="1">
      <alignment horizontal="center" vertical="top" wrapText="1"/>
    </xf>
    <xf numFmtId="17" fontId="6" fillId="0" borderId="2" xfId="2" applyNumberFormat="1" applyFont="1" applyFill="1" applyBorder="1" applyAlignment="1">
      <alignment horizontal="right" vertical="top" wrapText="1"/>
    </xf>
    <xf numFmtId="164" fontId="13" fillId="0" borderId="2" xfId="2" applyNumberFormat="1" applyFont="1" applyFill="1" applyBorder="1" applyAlignment="1">
      <alignment horizontal="right" vertical="top" wrapText="1"/>
    </xf>
    <xf numFmtId="164" fontId="6" fillId="0" borderId="2" xfId="2" applyNumberFormat="1" applyFont="1" applyFill="1" applyBorder="1" applyAlignment="1">
      <alignment horizontal="right" vertical="top" wrapText="1"/>
    </xf>
    <xf numFmtId="0" fontId="4" fillId="0" borderId="0" xfId="0" applyFont="1"/>
    <xf numFmtId="0" fontId="4" fillId="0" borderId="0" xfId="0" applyFont="1" applyFill="1" applyAlignment="1">
      <alignment vertical="top" wrapText="1"/>
    </xf>
    <xf numFmtId="0" fontId="4" fillId="0" borderId="0" xfId="0" applyFont="1" applyFill="1" applyBorder="1" applyAlignment="1">
      <alignment vertical="top" wrapText="1"/>
    </xf>
    <xf numFmtId="0" fontId="0" fillId="0" borderId="0" xfId="0" applyFill="1"/>
    <xf numFmtId="0" fontId="15" fillId="0" borderId="0" xfId="0" applyFont="1" applyFill="1" applyAlignment="1">
      <alignment vertical="top" wrapText="1"/>
    </xf>
    <xf numFmtId="0" fontId="15" fillId="0" borderId="0" xfId="0" applyFont="1" applyAlignment="1">
      <alignment vertical="top" wrapText="1"/>
    </xf>
    <xf numFmtId="0" fontId="5" fillId="0" borderId="0" xfId="0" quotePrefix="1" applyFont="1" applyFill="1" applyBorder="1" applyAlignment="1">
      <alignment vertical="center"/>
    </xf>
    <xf numFmtId="49" fontId="7" fillId="0" borderId="0" xfId="0" applyNumberFormat="1" applyFont="1" applyFill="1" applyAlignment="1">
      <alignment horizontal="right" vertical="top"/>
    </xf>
    <xf numFmtId="49" fontId="7" fillId="0" borderId="0" xfId="0" applyNumberFormat="1" applyFont="1" applyAlignment="1">
      <alignment horizontal="right" vertical="top"/>
    </xf>
    <xf numFmtId="49" fontId="7" fillId="0" borderId="0" xfId="0" applyNumberFormat="1" applyFont="1" applyAlignment="1">
      <alignment horizontal="right" vertical="top" wrapText="1"/>
    </xf>
    <xf numFmtId="165" fontId="6" fillId="0" borderId="0" xfId="0" quotePrefix="1" applyNumberFormat="1" applyFont="1" applyFill="1" applyAlignment="1">
      <alignment vertical="center"/>
    </xf>
    <xf numFmtId="0" fontId="5" fillId="0" borderId="0" xfId="0" quotePrefix="1" applyFont="1" applyFill="1" applyAlignment="1">
      <alignment vertical="center"/>
    </xf>
    <xf numFmtId="166" fontId="4" fillId="0" borderId="0" xfId="4" applyNumberFormat="1" applyFont="1" applyFill="1" applyBorder="1" applyAlignment="1">
      <alignment horizontal="center" vertical="top"/>
    </xf>
    <xf numFmtId="0" fontId="4" fillId="0" borderId="0" xfId="0" applyFont="1" applyFill="1" applyBorder="1"/>
    <xf numFmtId="166" fontId="5" fillId="0" borderId="0" xfId="4" applyNumberFormat="1" applyFont="1" applyFill="1" applyBorder="1" applyAlignment="1">
      <alignment horizontal="center" vertical="top"/>
    </xf>
    <xf numFmtId="0" fontId="4" fillId="0" borderId="0" xfId="0" applyFont="1" applyAlignment="1">
      <alignment wrapText="1"/>
    </xf>
    <xf numFmtId="0" fontId="18" fillId="0" borderId="0" xfId="0" applyFont="1"/>
    <xf numFmtId="0" fontId="15" fillId="0" borderId="0" xfId="0" applyFont="1" applyFill="1"/>
    <xf numFmtId="0" fontId="4" fillId="0" borderId="0" xfId="0" applyFont="1" applyFill="1" applyAlignment="1">
      <alignment vertical="center"/>
    </xf>
    <xf numFmtId="0" fontId="4" fillId="0" borderId="0" xfId="0" applyFont="1" applyFill="1" applyAlignment="1">
      <alignment horizontal="right"/>
    </xf>
    <xf numFmtId="165" fontId="4" fillId="0" borderId="0" xfId="0" quotePrefix="1" applyNumberFormat="1" applyFont="1" applyFill="1" applyAlignment="1">
      <alignment horizontal="left" vertical="center"/>
    </xf>
    <xf numFmtId="0" fontId="4" fillId="0" borderId="0" xfId="0" applyFont="1" applyFill="1" applyAlignment="1">
      <alignment horizontal="left"/>
    </xf>
    <xf numFmtId="14" fontId="4" fillId="0" borderId="0" xfId="0" applyNumberFormat="1" applyFont="1" applyFill="1"/>
    <xf numFmtId="0" fontId="4" fillId="0" borderId="0" xfId="0" applyFont="1" applyFill="1" applyAlignment="1"/>
    <xf numFmtId="0" fontId="4" fillId="0" borderId="0" xfId="0" applyFont="1" applyFill="1" applyBorder="1" applyAlignment="1">
      <alignment horizontal="center" vertical="top" wrapText="1"/>
    </xf>
    <xf numFmtId="3" fontId="4" fillId="0" borderId="0" xfId="0" applyNumberFormat="1" applyFont="1" applyFill="1" applyBorder="1" applyAlignment="1">
      <alignment horizontal="center" vertical="top" wrapText="1"/>
    </xf>
    <xf numFmtId="166" fontId="4" fillId="0" borderId="0" xfId="4" applyNumberFormat="1" applyFont="1" applyFill="1" applyBorder="1" applyAlignment="1">
      <alignment vertical="top"/>
    </xf>
    <xf numFmtId="166" fontId="4" fillId="0" borderId="1" xfId="4" applyNumberFormat="1" applyFont="1" applyFill="1" applyBorder="1" applyAlignment="1">
      <alignment horizontal="center" vertical="top"/>
    </xf>
    <xf numFmtId="166" fontId="4" fillId="0" borderId="0" xfId="4" applyNumberFormat="1" applyFont="1" applyFill="1" applyBorder="1" applyAlignment="1">
      <alignment horizontal="right" vertical="top" wrapText="1"/>
    </xf>
    <xf numFmtId="166" fontId="4" fillId="0" borderId="6" xfId="4" applyNumberFormat="1" applyFont="1" applyFill="1" applyBorder="1" applyAlignment="1">
      <alignment horizontal="right" vertical="top" wrapText="1"/>
    </xf>
    <xf numFmtId="0" fontId="19" fillId="3" borderId="10" xfId="0" quotePrefix="1" applyFont="1" applyFill="1" applyBorder="1" applyAlignment="1"/>
    <xf numFmtId="0" fontId="20" fillId="3" borderId="8" xfId="0" applyFont="1" applyFill="1" applyBorder="1" applyAlignment="1"/>
    <xf numFmtId="0" fontId="21" fillId="3" borderId="3" xfId="0" applyFont="1" applyFill="1" applyBorder="1" applyAlignment="1">
      <alignment vertical="top"/>
    </xf>
    <xf numFmtId="0" fontId="22" fillId="3" borderId="3" xfId="0" applyFont="1" applyFill="1" applyBorder="1" applyAlignment="1">
      <alignment horizontal="center" vertical="top" wrapText="1"/>
    </xf>
    <xf numFmtId="0" fontId="22" fillId="3" borderId="3" xfId="0" applyFont="1" applyFill="1" applyBorder="1" applyAlignment="1">
      <alignment horizontal="center"/>
    </xf>
    <xf numFmtId="0" fontId="24" fillId="3" borderId="3" xfId="0" applyFont="1" applyFill="1" applyBorder="1" applyAlignment="1">
      <alignment vertical="top"/>
    </xf>
    <xf numFmtId="0" fontId="24" fillId="3" borderId="0" xfId="0" applyFont="1" applyFill="1" applyBorder="1" applyAlignment="1">
      <alignment vertical="top"/>
    </xf>
    <xf numFmtId="0" fontId="22" fillId="3" borderId="0" xfId="0" applyFont="1" applyFill="1" applyBorder="1" applyAlignment="1">
      <alignment horizontal="center"/>
    </xf>
    <xf numFmtId="0" fontId="22" fillId="3" borderId="1" xfId="0" applyFont="1" applyFill="1" applyBorder="1" applyAlignment="1">
      <alignment horizontal="center" vertical="top" wrapText="1"/>
    </xf>
    <xf numFmtId="0" fontId="24" fillId="3" borderId="1" xfId="0" applyFont="1" applyFill="1" applyBorder="1" applyAlignment="1">
      <alignment horizontal="center" vertical="top" wrapText="1"/>
    </xf>
    <xf numFmtId="0" fontId="22" fillId="3" borderId="1" xfId="0" applyFont="1" applyFill="1" applyBorder="1" applyAlignment="1">
      <alignment horizontal="center"/>
    </xf>
    <xf numFmtId="0" fontId="22" fillId="3" borderId="7" xfId="0" applyFont="1" applyFill="1" applyBorder="1" applyAlignment="1"/>
    <xf numFmtId="0" fontId="22" fillId="3" borderId="0" xfId="0" applyFont="1" applyFill="1" applyBorder="1" applyAlignment="1">
      <alignment horizontal="center" wrapText="1"/>
    </xf>
    <xf numFmtId="166" fontId="22" fillId="3" borderId="1" xfId="4" applyNumberFormat="1" applyFont="1" applyFill="1" applyBorder="1" applyAlignment="1">
      <alignment horizontal="center" vertical="top" wrapText="1"/>
    </xf>
    <xf numFmtId="0" fontId="22" fillId="3" borderId="11" xfId="0" applyFont="1" applyFill="1" applyBorder="1" applyAlignment="1">
      <alignment horizontal="center" vertical="top" wrapText="1"/>
    </xf>
    <xf numFmtId="166" fontId="25" fillId="4" borderId="2" xfId="4" quotePrefix="1" applyNumberFormat="1" applyFont="1" applyFill="1" applyBorder="1" applyAlignment="1">
      <alignment horizontal="center" vertical="top"/>
    </xf>
    <xf numFmtId="166" fontId="25" fillId="4" borderId="5" xfId="4" quotePrefix="1" applyNumberFormat="1" applyFont="1" applyFill="1" applyBorder="1" applyAlignment="1">
      <alignment horizontal="center" vertical="top"/>
    </xf>
    <xf numFmtId="0" fontId="5" fillId="0" borderId="14" xfId="0" applyFont="1" applyFill="1" applyBorder="1"/>
    <xf numFmtId="49" fontId="22" fillId="3" borderId="13" xfId="0" applyNumberFormat="1" applyFont="1" applyFill="1" applyBorder="1" applyAlignment="1">
      <alignment horizontal="center" vertical="top"/>
    </xf>
    <xf numFmtId="0" fontId="22" fillId="3" borderId="15" xfId="0" applyFont="1" applyFill="1" applyBorder="1" applyAlignment="1">
      <alignment horizontal="center" vertical="top" wrapText="1"/>
    </xf>
    <xf numFmtId="0" fontId="4" fillId="0" borderId="0" xfId="0" quotePrefix="1" applyFont="1" applyFill="1" applyAlignment="1">
      <alignment horizontal="left" vertical="center"/>
    </xf>
    <xf numFmtId="0" fontId="26" fillId="0" borderId="0" xfId="16" applyFont="1"/>
    <xf numFmtId="0" fontId="26" fillId="0" borderId="0" xfId="16" applyFont="1" applyFill="1"/>
    <xf numFmtId="0" fontId="26" fillId="0" borderId="0" xfId="0" applyFont="1" applyFill="1" applyAlignment="1"/>
    <xf numFmtId="0" fontId="27" fillId="0" borderId="0" xfId="16" applyFont="1"/>
    <xf numFmtId="0" fontId="26" fillId="6" borderId="0" xfId="16" applyFont="1" applyFill="1"/>
    <xf numFmtId="0" fontId="26" fillId="0" borderId="0" xfId="16" applyFont="1" applyAlignment="1">
      <alignment vertical="center"/>
    </xf>
    <xf numFmtId="0" fontId="26" fillId="0" borderId="0" xfId="16" applyFont="1" applyAlignment="1">
      <alignment vertical="top" wrapText="1"/>
    </xf>
    <xf numFmtId="166" fontId="4" fillId="0" borderId="1" xfId="4" applyNumberFormat="1" applyFont="1" applyFill="1" applyBorder="1" applyAlignment="1">
      <alignment horizontal="right" vertical="top" wrapText="1"/>
    </xf>
    <xf numFmtId="0" fontId="5" fillId="0" borderId="8" xfId="0" applyFont="1" applyFill="1" applyBorder="1"/>
    <xf numFmtId="0" fontId="12" fillId="0" borderId="0" xfId="3" applyFont="1" applyFill="1" applyBorder="1" applyAlignment="1">
      <alignment horizontal="center" vertical="top"/>
    </xf>
    <xf numFmtId="17" fontId="4" fillId="0" borderId="0" xfId="2" applyNumberFormat="1" applyFont="1" applyFill="1" applyBorder="1" applyAlignment="1">
      <alignment horizontal="center" vertical="top" wrapText="1"/>
    </xf>
    <xf numFmtId="166" fontId="4" fillId="0" borderId="11" xfId="4" applyNumberFormat="1" applyFont="1" applyFill="1" applyBorder="1" applyAlignment="1">
      <alignment horizontal="center" vertical="top"/>
    </xf>
    <xf numFmtId="0" fontId="4" fillId="0" borderId="0" xfId="2" applyFont="1" applyFill="1" applyBorder="1" applyAlignment="1">
      <alignment horizontal="center" vertical="top"/>
    </xf>
    <xf numFmtId="1" fontId="4" fillId="0" borderId="0" xfId="2" applyNumberFormat="1" applyFont="1" applyFill="1" applyBorder="1" applyAlignment="1">
      <alignment horizontal="center" vertical="top"/>
    </xf>
    <xf numFmtId="3" fontId="4" fillId="0" borderId="0" xfId="2" applyNumberFormat="1" applyFont="1" applyFill="1" applyBorder="1" applyAlignment="1">
      <alignment horizontal="center" vertical="top"/>
    </xf>
    <xf numFmtId="0" fontId="4" fillId="0" borderId="0" xfId="2" applyFont="1" applyFill="1" applyBorder="1" applyAlignment="1">
      <alignment horizontal="center" vertical="top" wrapText="1"/>
    </xf>
    <xf numFmtId="164" fontId="4" fillId="0" borderId="0" xfId="2" applyNumberFormat="1" applyFont="1" applyFill="1" applyBorder="1" applyAlignment="1">
      <alignment horizontal="right" vertical="top" wrapText="1"/>
    </xf>
    <xf numFmtId="0" fontId="4" fillId="0" borderId="8" xfId="2" applyFont="1" applyFill="1" applyBorder="1" applyAlignment="1">
      <alignment vertical="top" wrapText="1"/>
    </xf>
    <xf numFmtId="166" fontId="22" fillId="3" borderId="7" xfId="4" applyNumberFormat="1" applyFont="1" applyFill="1" applyBorder="1" applyAlignment="1">
      <alignment horizontal="center" vertical="top" wrapText="1"/>
    </xf>
    <xf numFmtId="166" fontId="5" fillId="0" borderId="8" xfId="4" applyNumberFormat="1" applyFont="1" applyFill="1" applyBorder="1" applyAlignment="1">
      <alignment horizontal="center" vertical="top"/>
    </xf>
    <xf numFmtId="166" fontId="4" fillId="0" borderId="0" xfId="4" applyNumberFormat="1" applyFont="1" applyFill="1" applyBorder="1" applyAlignment="1">
      <alignment horizontal="right"/>
    </xf>
    <xf numFmtId="0" fontId="4" fillId="0" borderId="1" xfId="0" applyFont="1" applyFill="1" applyBorder="1" applyAlignment="1">
      <alignment horizontal="center" vertical="top" wrapText="1"/>
    </xf>
    <xf numFmtId="3" fontId="4" fillId="0" borderId="1" xfId="0" applyNumberFormat="1" applyFont="1" applyFill="1" applyBorder="1" applyAlignment="1">
      <alignment horizontal="center" vertical="top" wrapText="1"/>
    </xf>
    <xf numFmtId="0" fontId="4" fillId="0" borderId="1" xfId="2" applyFont="1" applyFill="1" applyBorder="1" applyAlignment="1">
      <alignment horizontal="center" vertical="top"/>
    </xf>
    <xf numFmtId="0" fontId="21" fillId="3" borderId="10" xfId="0" applyFont="1" applyFill="1" applyBorder="1" applyAlignment="1">
      <alignment vertical="top"/>
    </xf>
    <xf numFmtId="0" fontId="22" fillId="3" borderId="7" xfId="0" applyFont="1" applyFill="1" applyBorder="1" applyAlignment="1">
      <alignment horizontal="center" vertical="top" wrapText="1"/>
    </xf>
    <xf numFmtId="0" fontId="22" fillId="3" borderId="1" xfId="0" applyFont="1" applyFill="1" applyBorder="1" applyAlignment="1">
      <alignment horizontal="center" vertical="top"/>
    </xf>
    <xf numFmtId="0" fontId="4" fillId="0" borderId="0" xfId="2" applyFont="1" applyFill="1" applyBorder="1" applyAlignment="1">
      <alignment vertical="top" wrapText="1"/>
    </xf>
    <xf numFmtId="166" fontId="4" fillId="0" borderId="14" xfId="4" applyNumberFormat="1" applyFont="1" applyFill="1" applyBorder="1" applyAlignment="1">
      <alignment horizontal="right" vertical="top" wrapText="1"/>
    </xf>
    <xf numFmtId="49" fontId="4" fillId="0" borderId="0" xfId="0" applyNumberFormat="1" applyFont="1" applyAlignment="1">
      <alignment horizontal="right" vertical="top" wrapText="1"/>
    </xf>
    <xf numFmtId="0" fontId="25" fillId="4" borderId="4" xfId="0" applyFont="1" applyFill="1" applyBorder="1" applyAlignment="1">
      <alignment vertical="top"/>
    </xf>
    <xf numFmtId="0" fontId="25" fillId="4" borderId="12" xfId="0" applyFont="1" applyFill="1" applyBorder="1" applyAlignment="1">
      <alignment horizontal="right" vertical="top"/>
    </xf>
    <xf numFmtId="49" fontId="25" fillId="4" borderId="2" xfId="0" quotePrefix="1" applyNumberFormat="1" applyFont="1" applyFill="1" applyBorder="1" applyAlignment="1">
      <alignment vertical="top"/>
    </xf>
    <xf numFmtId="0" fontId="28" fillId="4" borderId="2" xfId="0" quotePrefix="1" applyFont="1" applyFill="1" applyBorder="1" applyAlignment="1">
      <alignment vertical="top"/>
    </xf>
    <xf numFmtId="0" fontId="29" fillId="4" borderId="2" xfId="0" quotePrefix="1" applyFont="1" applyFill="1" applyBorder="1" applyAlignment="1">
      <alignment vertical="top"/>
    </xf>
    <xf numFmtId="0" fontId="28" fillId="4" borderId="4" xfId="0" quotePrefix="1" applyFont="1" applyFill="1" applyBorder="1" applyAlignment="1">
      <alignment vertical="top"/>
    </xf>
    <xf numFmtId="166" fontId="25" fillId="4" borderId="12" xfId="4" applyNumberFormat="1" applyFont="1" applyFill="1" applyBorder="1" applyAlignment="1">
      <alignment horizontal="right" vertical="top"/>
    </xf>
    <xf numFmtId="166" fontId="4" fillId="0" borderId="0" xfId="4" applyNumberFormat="1" applyFont="1" applyFill="1" applyBorder="1"/>
    <xf numFmtId="0" fontId="11" fillId="0" borderId="10" xfId="0" quotePrefix="1" applyFont="1" applyFill="1" applyBorder="1" applyAlignment="1">
      <alignment vertical="top"/>
    </xf>
    <xf numFmtId="0" fontId="30" fillId="0" borderId="13" xfId="0" quotePrefix="1" applyFont="1" applyFill="1" applyBorder="1" applyAlignment="1">
      <alignment horizontal="right" vertical="top"/>
    </xf>
    <xf numFmtId="0" fontId="11" fillId="0" borderId="3" xfId="0" quotePrefix="1" applyFont="1" applyFill="1" applyBorder="1" applyAlignment="1">
      <alignment vertical="top"/>
    </xf>
    <xf numFmtId="166" fontId="5" fillId="0" borderId="6" xfId="4" applyNumberFormat="1" applyFont="1" applyFill="1" applyBorder="1" applyAlignment="1">
      <alignment horizontal="center" vertical="top"/>
    </xf>
    <xf numFmtId="0" fontId="4" fillId="7" borderId="0" xfId="0" applyFont="1" applyFill="1"/>
    <xf numFmtId="0" fontId="4" fillId="5" borderId="0" xfId="0" applyFont="1" applyFill="1" applyBorder="1"/>
    <xf numFmtId="0" fontId="22" fillId="0" borderId="0" xfId="0" applyFont="1" applyFill="1" applyBorder="1" applyAlignment="1">
      <alignment horizontal="center" wrapText="1"/>
    </xf>
    <xf numFmtId="0" fontId="4" fillId="0" borderId="0" xfId="0" applyFont="1" applyFill="1" applyBorder="1" applyAlignment="1">
      <alignment horizontal="right"/>
    </xf>
    <xf numFmtId="0" fontId="22" fillId="3" borderId="9" xfId="0" applyFont="1" applyFill="1" applyBorder="1" applyAlignment="1">
      <alignment horizontal="center"/>
    </xf>
    <xf numFmtId="0" fontId="22" fillId="3" borderId="6" xfId="0" applyFont="1" applyFill="1" applyBorder="1" applyAlignment="1">
      <alignment horizontal="center" wrapText="1"/>
    </xf>
    <xf numFmtId="0" fontId="24" fillId="3" borderId="11" xfId="0" applyFont="1" applyFill="1" applyBorder="1" applyAlignment="1">
      <alignment horizontal="center" vertical="top" wrapText="1"/>
    </xf>
    <xf numFmtId="0" fontId="5" fillId="0" borderId="6" xfId="0" applyFont="1" applyFill="1" applyBorder="1" applyAlignment="1">
      <alignment horizontal="center"/>
    </xf>
    <xf numFmtId="164" fontId="4" fillId="0" borderId="6" xfId="2" applyNumberFormat="1" applyFont="1" applyFill="1" applyBorder="1" applyAlignment="1">
      <alignment horizontal="right" vertical="top" wrapText="1"/>
    </xf>
    <xf numFmtId="166" fontId="4" fillId="0" borderId="14" xfId="4" quotePrefix="1" applyNumberFormat="1" applyFont="1" applyFill="1" applyBorder="1" applyAlignment="1">
      <alignment horizontal="right" vertical="top" wrapText="1"/>
    </xf>
    <xf numFmtId="0" fontId="22" fillId="0" borderId="0" xfId="0" applyFont="1" applyFill="1" applyBorder="1" applyAlignment="1">
      <alignment horizontal="center"/>
    </xf>
    <xf numFmtId="0" fontId="24" fillId="0" borderId="0" xfId="0" applyFont="1" applyFill="1" applyBorder="1" applyAlignment="1">
      <alignment horizontal="center" vertical="top" wrapText="1"/>
    </xf>
    <xf numFmtId="0" fontId="28" fillId="0" borderId="0" xfId="0" quotePrefix="1" applyFont="1" applyFill="1" applyBorder="1" applyAlignment="1">
      <alignment vertical="top"/>
    </xf>
    <xf numFmtId="0" fontId="11" fillId="0" borderId="0" xfId="0" quotePrefix="1" applyFont="1" applyFill="1" applyBorder="1" applyAlignment="1">
      <alignment vertical="top"/>
    </xf>
    <xf numFmtId="0" fontId="28" fillId="4" borderId="2" xfId="0" quotePrefix="1" applyFont="1" applyFill="1" applyBorder="1" applyAlignment="1">
      <alignment horizontal="center" vertical="top"/>
    </xf>
    <xf numFmtId="0" fontId="11" fillId="0" borderId="3" xfId="0" quotePrefix="1" applyFont="1" applyFill="1" applyBorder="1" applyAlignment="1">
      <alignment horizontal="center" vertical="top"/>
    </xf>
    <xf numFmtId="2" fontId="4" fillId="0" borderId="0" xfId="2" applyNumberFormat="1" applyFont="1" applyFill="1" applyBorder="1" applyAlignment="1">
      <alignment horizontal="center" vertical="top" wrapText="1"/>
    </xf>
    <xf numFmtId="0" fontId="4" fillId="0" borderId="6" xfId="0" applyFont="1" applyFill="1" applyBorder="1" applyAlignment="1">
      <alignment horizontal="right"/>
    </xf>
    <xf numFmtId="0" fontId="28" fillId="4" borderId="2" xfId="0" quotePrefix="1" applyFont="1" applyFill="1" applyBorder="1" applyAlignment="1">
      <alignment horizontal="right" vertical="top"/>
    </xf>
    <xf numFmtId="0" fontId="28" fillId="4" borderId="5" xfId="0" quotePrefix="1" applyFont="1" applyFill="1" applyBorder="1" applyAlignment="1">
      <alignment horizontal="right" vertical="top"/>
    </xf>
    <xf numFmtId="0" fontId="11" fillId="0" borderId="3" xfId="0" quotePrefix="1" applyFont="1" applyFill="1" applyBorder="1" applyAlignment="1">
      <alignment horizontal="right" vertical="top"/>
    </xf>
    <xf numFmtId="0" fontId="11" fillId="0" borderId="9" xfId="0" quotePrefix="1" applyFont="1" applyFill="1" applyBorder="1" applyAlignment="1">
      <alignment horizontal="right" vertical="top"/>
    </xf>
    <xf numFmtId="164" fontId="4" fillId="0" borderId="1" xfId="2" applyNumberFormat="1" applyFont="1" applyFill="1" applyBorder="1" applyAlignment="1">
      <alignment horizontal="right" vertical="top" wrapText="1"/>
    </xf>
    <xf numFmtId="166" fontId="4" fillId="0" borderId="8" xfId="4" applyNumberFormat="1" applyFont="1" applyFill="1" applyBorder="1" applyAlignment="1">
      <alignment horizontal="center" vertical="top"/>
    </xf>
    <xf numFmtId="166" fontId="4" fillId="0" borderId="7" xfId="4" applyNumberFormat="1" applyFont="1" applyFill="1" applyBorder="1" applyAlignment="1">
      <alignment horizontal="center" vertical="top"/>
    </xf>
    <xf numFmtId="165" fontId="4" fillId="0" borderId="0" xfId="0" applyNumberFormat="1" applyFont="1" applyFill="1" applyAlignment="1">
      <alignment vertical="center"/>
    </xf>
    <xf numFmtId="165" fontId="36" fillId="0" borderId="0" xfId="0" applyNumberFormat="1" applyFont="1" applyFill="1" applyAlignment="1">
      <alignment horizontal="left" vertical="center"/>
    </xf>
    <xf numFmtId="17" fontId="4" fillId="0" borderId="1" xfId="3" applyNumberFormat="1" applyFont="1" applyFill="1" applyBorder="1" applyAlignment="1">
      <alignment horizontal="center" vertical="top" wrapText="1"/>
    </xf>
    <xf numFmtId="166" fontId="4" fillId="0" borderId="15" xfId="4" quotePrefix="1" applyNumberFormat="1" applyFont="1" applyFill="1" applyBorder="1" applyAlignment="1">
      <alignment horizontal="right" vertical="top" wrapText="1"/>
    </xf>
    <xf numFmtId="166" fontId="4" fillId="0" borderId="11" xfId="4" applyNumberFormat="1" applyFont="1" applyFill="1" applyBorder="1" applyAlignment="1">
      <alignment horizontal="right" vertical="top" wrapText="1"/>
    </xf>
    <xf numFmtId="0" fontId="4" fillId="0" borderId="0" xfId="0" applyFont="1" applyFill="1" applyBorder="1" applyAlignment="1">
      <alignment horizontal="center"/>
    </xf>
    <xf numFmtId="166" fontId="4" fillId="0" borderId="6" xfId="4" applyNumberFormat="1" applyFont="1" applyFill="1" applyBorder="1" applyAlignment="1">
      <alignment horizontal="center" vertical="top"/>
    </xf>
    <xf numFmtId="166" fontId="4" fillId="0" borderId="6" xfId="4" quotePrefix="1" applyNumberFormat="1" applyFont="1" applyFill="1" applyBorder="1" applyAlignment="1">
      <alignment horizontal="right" vertical="top" wrapText="1"/>
    </xf>
    <xf numFmtId="0" fontId="5" fillId="0" borderId="0" xfId="0" applyFont="1" applyFill="1" applyBorder="1" applyAlignment="1">
      <alignment vertical="center"/>
    </xf>
    <xf numFmtId="17" fontId="5" fillId="0" borderId="0" xfId="3" applyNumberFormat="1" applyFont="1" applyFill="1" applyBorder="1" applyAlignment="1">
      <alignment horizontal="center" vertical="top" wrapText="1"/>
    </xf>
    <xf numFmtId="0" fontId="4" fillId="0" borderId="0" xfId="16" applyFont="1" applyFill="1" applyBorder="1" applyAlignment="1">
      <alignment horizontal="center" vertical="top" wrapText="1"/>
    </xf>
    <xf numFmtId="166" fontId="5" fillId="0" borderId="0" xfId="4" applyNumberFormat="1" applyFont="1" applyFill="1" applyBorder="1" applyAlignment="1">
      <alignment horizontal="right" vertical="top" wrapText="1"/>
    </xf>
    <xf numFmtId="166" fontId="5" fillId="0" borderId="6" xfId="4" applyNumberFormat="1" applyFont="1" applyFill="1" applyBorder="1" applyAlignment="1">
      <alignment horizontal="right" vertical="top" wrapText="1"/>
    </xf>
    <xf numFmtId="0" fontId="12" fillId="0" borderId="1" xfId="3" applyFont="1" applyFill="1" applyBorder="1" applyAlignment="1">
      <alignment horizontal="center" vertical="top"/>
    </xf>
    <xf numFmtId="166" fontId="28" fillId="4" borderId="4" xfId="4" quotePrefix="1" applyNumberFormat="1" applyFont="1" applyFill="1" applyBorder="1" applyAlignment="1">
      <alignment vertical="top"/>
    </xf>
    <xf numFmtId="166" fontId="4" fillId="5" borderId="0" xfId="4" applyNumberFormat="1" applyFont="1" applyFill="1" applyBorder="1"/>
    <xf numFmtId="166" fontId="4" fillId="0" borderId="0" xfId="4" applyNumberFormat="1" applyFont="1" applyFill="1"/>
    <xf numFmtId="166" fontId="4" fillId="7" borderId="0" xfId="4" applyNumberFormat="1" applyFont="1" applyFill="1"/>
    <xf numFmtId="0" fontId="4" fillId="9" borderId="0" xfId="0" applyFont="1" applyFill="1"/>
    <xf numFmtId="0" fontId="4" fillId="0" borderId="10" xfId="2" applyFont="1" applyFill="1" applyBorder="1" applyAlignment="1">
      <alignment vertical="top" wrapText="1"/>
    </xf>
    <xf numFmtId="166" fontId="4" fillId="0" borderId="13" xfId="4" applyNumberFormat="1" applyFont="1" applyFill="1" applyBorder="1" applyAlignment="1">
      <alignment horizontal="right" vertical="top" wrapText="1"/>
    </xf>
    <xf numFmtId="0" fontId="4" fillId="0" borderId="3" xfId="2" applyFont="1" applyFill="1" applyBorder="1" applyAlignment="1">
      <alignment horizontal="center" vertical="top"/>
    </xf>
    <xf numFmtId="1" fontId="4" fillId="0" borderId="3" xfId="2" applyNumberFormat="1" applyFont="1" applyFill="1" applyBorder="1" applyAlignment="1">
      <alignment horizontal="center" vertical="top"/>
    </xf>
    <xf numFmtId="3" fontId="4" fillId="0" borderId="3" xfId="2" applyNumberFormat="1" applyFont="1" applyFill="1" applyBorder="1" applyAlignment="1">
      <alignment horizontal="center" vertical="top"/>
    </xf>
    <xf numFmtId="0" fontId="4" fillId="0" borderId="3" xfId="2" applyFont="1" applyFill="1" applyBorder="1" applyAlignment="1">
      <alignment horizontal="center" vertical="top" wrapText="1"/>
    </xf>
    <xf numFmtId="17" fontId="4" fillId="0" borderId="3" xfId="2" applyNumberFormat="1" applyFont="1" applyFill="1" applyBorder="1" applyAlignment="1">
      <alignment horizontal="center" vertical="top" wrapText="1"/>
    </xf>
    <xf numFmtId="164" fontId="4" fillId="0" borderId="3" xfId="2" applyNumberFormat="1" applyFont="1" applyFill="1" applyBorder="1" applyAlignment="1">
      <alignment horizontal="right" vertical="top" wrapText="1"/>
    </xf>
    <xf numFmtId="164" fontId="4" fillId="0" borderId="9" xfId="2" applyNumberFormat="1" applyFont="1" applyFill="1" applyBorder="1" applyAlignment="1">
      <alignment horizontal="right" vertical="top" wrapText="1"/>
    </xf>
    <xf numFmtId="166" fontId="4" fillId="0" borderId="10" xfId="4" applyNumberFormat="1" applyFont="1" applyFill="1" applyBorder="1" applyAlignment="1">
      <alignment vertical="top"/>
    </xf>
    <xf numFmtId="166" fontId="4" fillId="0" borderId="3" xfId="4" applyNumberFormat="1" applyFont="1" applyFill="1" applyBorder="1" applyAlignment="1">
      <alignment vertical="top"/>
    </xf>
    <xf numFmtId="166" fontId="4" fillId="0" borderId="9" xfId="4" applyNumberFormat="1" applyFont="1" applyFill="1" applyBorder="1" applyAlignment="1">
      <alignment vertical="top"/>
    </xf>
    <xf numFmtId="166" fontId="11" fillId="0" borderId="10" xfId="4" quotePrefix="1" applyNumberFormat="1" applyFont="1" applyFill="1" applyBorder="1" applyAlignment="1">
      <alignment horizontal="center" vertical="top"/>
    </xf>
    <xf numFmtId="166" fontId="11" fillId="0" borderId="3" xfId="4" quotePrefix="1" applyNumberFormat="1" applyFont="1" applyFill="1" applyBorder="1" applyAlignment="1">
      <alignment horizontal="center" vertical="top"/>
    </xf>
    <xf numFmtId="166" fontId="11" fillId="0" borderId="9" xfId="4" quotePrefix="1" applyNumberFormat="1" applyFont="1" applyFill="1" applyBorder="1" applyAlignment="1">
      <alignment horizontal="center" vertical="top"/>
    </xf>
    <xf numFmtId="0" fontId="5" fillId="0" borderId="14" xfId="0" quotePrefix="1" applyFont="1" applyFill="1" applyBorder="1" applyAlignment="1">
      <alignment horizontal="left" vertical="top" wrapText="1"/>
    </xf>
    <xf numFmtId="0" fontId="4" fillId="5" borderId="1" xfId="0" applyFont="1" applyFill="1" applyBorder="1" applyAlignment="1">
      <alignment horizontal="center" vertical="top" wrapText="1"/>
    </xf>
    <xf numFmtId="17" fontId="5" fillId="5" borderId="1" xfId="2" applyNumberFormat="1" applyFont="1" applyFill="1" applyBorder="1" applyAlignment="1">
      <alignment horizontal="center" vertical="top" wrapText="1"/>
    </xf>
    <xf numFmtId="166" fontId="4" fillId="5" borderId="1" xfId="4" applyNumberFormat="1" applyFont="1" applyFill="1" applyBorder="1" applyAlignment="1">
      <alignment horizontal="center" vertical="top"/>
    </xf>
    <xf numFmtId="166" fontId="4" fillId="5" borderId="11" xfId="4" applyNumberFormat="1" applyFont="1" applyFill="1" applyBorder="1" applyAlignment="1">
      <alignment horizontal="center" vertical="top"/>
    </xf>
    <xf numFmtId="0" fontId="5" fillId="5" borderId="8" xfId="0" applyFont="1" applyFill="1" applyBorder="1" applyAlignment="1">
      <alignment vertical="top" wrapText="1"/>
    </xf>
    <xf numFmtId="166" fontId="4" fillId="5" borderId="14" xfId="4" applyNumberFormat="1" applyFont="1" applyFill="1" applyBorder="1" applyAlignment="1">
      <alignment horizontal="right" vertical="top" wrapText="1"/>
    </xf>
    <xf numFmtId="0" fontId="4" fillId="5" borderId="0" xfId="0" applyFont="1" applyFill="1" applyBorder="1" applyAlignment="1">
      <alignment horizontal="center" vertical="top" wrapText="1"/>
    </xf>
    <xf numFmtId="0" fontId="12" fillId="5" borderId="0" xfId="2" applyFont="1" applyFill="1" applyBorder="1" applyAlignment="1">
      <alignment horizontal="center" vertical="top"/>
    </xf>
    <xf numFmtId="3" fontId="4" fillId="5" borderId="0" xfId="0" applyNumberFormat="1" applyFont="1" applyFill="1" applyBorder="1" applyAlignment="1">
      <alignment horizontal="center" vertical="top" wrapText="1"/>
    </xf>
    <xf numFmtId="17" fontId="4" fillId="5" borderId="0" xfId="2" applyNumberFormat="1" applyFont="1" applyFill="1" applyBorder="1" applyAlignment="1">
      <alignment horizontal="center" vertical="top" wrapText="1"/>
    </xf>
    <xf numFmtId="166" fontId="4" fillId="5" borderId="0" xfId="4" applyNumberFormat="1" applyFont="1" applyFill="1" applyBorder="1" applyAlignment="1">
      <alignment horizontal="right" vertical="top" wrapText="1"/>
    </xf>
    <xf numFmtId="166" fontId="4" fillId="5" borderId="6" xfId="4" applyNumberFormat="1" applyFont="1" applyFill="1" applyBorder="1" applyAlignment="1">
      <alignment horizontal="right" vertical="top" wrapText="1"/>
    </xf>
    <xf numFmtId="166" fontId="5" fillId="5" borderId="8" xfId="4" applyNumberFormat="1" applyFont="1" applyFill="1" applyBorder="1" applyAlignment="1">
      <alignment horizontal="center" vertical="top"/>
    </xf>
    <xf numFmtId="166" fontId="5" fillId="5" borderId="0" xfId="4" applyNumberFormat="1" applyFont="1" applyFill="1" applyBorder="1" applyAlignment="1">
      <alignment horizontal="center" vertical="top"/>
    </xf>
    <xf numFmtId="166" fontId="4" fillId="5" borderId="0" xfId="4" applyNumberFormat="1" applyFont="1" applyFill="1" applyBorder="1" applyAlignment="1">
      <alignment horizontal="center" vertical="top"/>
    </xf>
    <xf numFmtId="166" fontId="4" fillId="5" borderId="6" xfId="4" applyNumberFormat="1" applyFont="1" applyFill="1" applyBorder="1" applyAlignment="1">
      <alignment horizontal="center" vertical="top"/>
    </xf>
    <xf numFmtId="166" fontId="4" fillId="5" borderId="14" xfId="4" quotePrefix="1" applyNumberFormat="1" applyFont="1" applyFill="1" applyBorder="1" applyAlignment="1">
      <alignment horizontal="right" vertical="top" wrapText="1"/>
    </xf>
    <xf numFmtId="0" fontId="12" fillId="5" borderId="0" xfId="3" applyFont="1" applyFill="1" applyBorder="1" applyAlignment="1">
      <alignment horizontal="center" vertical="top"/>
    </xf>
    <xf numFmtId="17" fontId="5" fillId="5" borderId="0" xfId="3" applyNumberFormat="1" applyFont="1" applyFill="1" applyBorder="1" applyAlignment="1">
      <alignment horizontal="center" vertical="top" wrapText="1"/>
    </xf>
    <xf numFmtId="166" fontId="5" fillId="5" borderId="0" xfId="4" applyNumberFormat="1" applyFont="1" applyFill="1" applyBorder="1" applyAlignment="1">
      <alignment horizontal="right" vertical="top" wrapText="1"/>
    </xf>
    <xf numFmtId="3" fontId="4" fillId="5" borderId="1" xfId="0" applyNumberFormat="1" applyFont="1" applyFill="1" applyBorder="1" applyAlignment="1">
      <alignment horizontal="center" vertical="top" wrapText="1"/>
    </xf>
    <xf numFmtId="166" fontId="5" fillId="5" borderId="1" xfId="4" applyNumberFormat="1" applyFont="1" applyFill="1" applyBorder="1" applyAlignment="1">
      <alignment horizontal="right" vertical="top" wrapText="1"/>
    </xf>
    <xf numFmtId="166" fontId="4" fillId="5" borderId="7" xfId="4" applyNumberFormat="1" applyFont="1" applyFill="1" applyBorder="1" applyAlignment="1">
      <alignment horizontal="center" vertical="top"/>
    </xf>
    <xf numFmtId="0" fontId="5" fillId="5" borderId="7" xfId="37" applyFont="1" applyFill="1" applyBorder="1" applyAlignment="1">
      <alignment vertical="top" wrapText="1"/>
    </xf>
    <xf numFmtId="0" fontId="4" fillId="5" borderId="1" xfId="37" applyFont="1" applyFill="1" applyBorder="1" applyAlignment="1">
      <alignment horizontal="center" vertical="top" wrapText="1"/>
    </xf>
    <xf numFmtId="3" fontId="4" fillId="5" borderId="1" xfId="37" applyNumberFormat="1" applyFont="1" applyFill="1" applyBorder="1" applyAlignment="1">
      <alignment horizontal="center" vertical="top" wrapText="1"/>
    </xf>
    <xf numFmtId="17" fontId="4" fillId="5" borderId="1" xfId="3" applyNumberFormat="1" applyFont="1" applyFill="1" applyBorder="1" applyAlignment="1">
      <alignment horizontal="center" vertical="top" wrapText="1"/>
    </xf>
    <xf numFmtId="166" fontId="4" fillId="5" borderId="1" xfId="4" quotePrefix="1" applyNumberFormat="1" applyFont="1" applyFill="1" applyBorder="1" applyAlignment="1">
      <alignment horizontal="right" vertical="top" wrapText="1"/>
    </xf>
    <xf numFmtId="166" fontId="4" fillId="5" borderId="11" xfId="4" applyNumberFormat="1" applyFont="1" applyFill="1" applyBorder="1" applyAlignment="1">
      <alignment horizontal="right" vertical="top" wrapText="1"/>
    </xf>
    <xf numFmtId="0" fontId="5" fillId="5" borderId="14" xfId="0" applyFont="1" applyFill="1" applyBorder="1" applyAlignment="1">
      <alignment vertical="top" wrapText="1"/>
    </xf>
    <xf numFmtId="17" fontId="5" fillId="5" borderId="0" xfId="2" applyNumberFormat="1" applyFont="1" applyFill="1" applyBorder="1" applyAlignment="1">
      <alignment horizontal="center" vertical="top" wrapText="1"/>
    </xf>
    <xf numFmtId="0" fontId="4" fillId="5" borderId="14" xfId="0" applyFont="1" applyFill="1" applyBorder="1" applyAlignment="1">
      <alignment vertical="top" wrapText="1"/>
    </xf>
    <xf numFmtId="0" fontId="4" fillId="5" borderId="15" xfId="0" applyFont="1" applyFill="1" applyBorder="1" applyAlignment="1">
      <alignment vertical="top" wrapText="1"/>
    </xf>
    <xf numFmtId="166" fontId="4" fillId="5" borderId="8" xfId="4" applyNumberFormat="1" applyFont="1" applyFill="1" applyBorder="1" applyAlignment="1">
      <alignment horizontal="center" vertical="top"/>
    </xf>
    <xf numFmtId="0" fontId="5" fillId="0" borderId="8" xfId="0" quotePrefix="1" applyFont="1" applyFill="1" applyBorder="1" applyAlignment="1">
      <alignment horizontal="left" vertical="top" wrapText="1"/>
    </xf>
    <xf numFmtId="0" fontId="5" fillId="0" borderId="7" xfId="0" quotePrefix="1" applyFont="1" applyFill="1" applyBorder="1" applyAlignment="1">
      <alignment horizontal="left" vertical="top" wrapText="1"/>
    </xf>
    <xf numFmtId="17" fontId="5" fillId="0" borderId="1" xfId="3" applyNumberFormat="1" applyFont="1" applyFill="1" applyBorder="1" applyAlignment="1">
      <alignment horizontal="center" vertical="top" wrapText="1"/>
    </xf>
    <xf numFmtId="17" fontId="4" fillId="5" borderId="0" xfId="3" applyNumberFormat="1" applyFont="1" applyFill="1" applyBorder="1" applyAlignment="1">
      <alignment horizontal="center" vertical="top" wrapText="1"/>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166" fontId="5" fillId="5" borderId="6" xfId="4" applyNumberFormat="1" applyFont="1" applyFill="1" applyBorder="1" applyAlignment="1">
      <alignment horizontal="right" vertical="top" wrapText="1"/>
    </xf>
    <xf numFmtId="166" fontId="5" fillId="5" borderId="11" xfId="4" applyNumberFormat="1" applyFont="1" applyFill="1" applyBorder="1" applyAlignment="1">
      <alignment horizontal="right" vertical="top" wrapText="1"/>
    </xf>
    <xf numFmtId="0" fontId="19" fillId="3" borderId="8" xfId="0" quotePrefix="1" applyFont="1" applyFill="1" applyBorder="1" applyAlignment="1"/>
    <xf numFmtId="49" fontId="22" fillId="3" borderId="14" xfId="0" applyNumberFormat="1" applyFont="1" applyFill="1" applyBorder="1" applyAlignment="1">
      <alignment horizontal="center" vertical="top"/>
    </xf>
    <xf numFmtId="0" fontId="21" fillId="3" borderId="8" xfId="0" applyFont="1" applyFill="1" applyBorder="1" applyAlignment="1">
      <alignment vertical="top"/>
    </xf>
    <xf numFmtId="0" fontId="21" fillId="3" borderId="0" xfId="0" applyFont="1" applyFill="1" applyBorder="1" applyAlignment="1">
      <alignment vertical="top"/>
    </xf>
    <xf numFmtId="0" fontId="22" fillId="3" borderId="0" xfId="0" applyFont="1" applyFill="1" applyBorder="1" applyAlignment="1">
      <alignment horizontal="center" vertical="top" wrapText="1"/>
    </xf>
    <xf numFmtId="0" fontId="22" fillId="3" borderId="6" xfId="0" applyFont="1" applyFill="1" applyBorder="1" applyAlignment="1">
      <alignment horizontal="center"/>
    </xf>
    <xf numFmtId="49" fontId="22" fillId="3" borderId="14" xfId="0" applyNumberFormat="1" applyFont="1" applyFill="1" applyBorder="1" applyAlignment="1">
      <alignment horizontal="center" wrapText="1"/>
    </xf>
    <xf numFmtId="0" fontId="22" fillId="3" borderId="8" xfId="0" applyFont="1" applyFill="1" applyBorder="1" applyAlignment="1">
      <alignment horizontal="center"/>
    </xf>
    <xf numFmtId="0" fontId="37" fillId="4" borderId="4" xfId="0" quotePrefix="1" applyFont="1" applyFill="1" applyBorder="1" applyAlignment="1">
      <alignment vertical="top"/>
    </xf>
    <xf numFmtId="166" fontId="24" fillId="4" borderId="2" xfId="4" quotePrefix="1" applyNumberFormat="1" applyFont="1" applyFill="1" applyBorder="1" applyAlignment="1">
      <alignment horizontal="center" vertical="top"/>
    </xf>
    <xf numFmtId="166" fontId="24" fillId="4" borderId="5" xfId="4" quotePrefix="1" applyNumberFormat="1" applyFont="1" applyFill="1" applyBorder="1" applyAlignment="1">
      <alignment horizontal="center" vertical="top"/>
    </xf>
    <xf numFmtId="166" fontId="4" fillId="0" borderId="10" xfId="4" applyNumberFormat="1" applyFont="1" applyFill="1" applyBorder="1" applyAlignment="1">
      <alignment horizontal="center" vertical="top"/>
    </xf>
    <xf numFmtId="0" fontId="5" fillId="0" borderId="10" xfId="0" applyFont="1" applyFill="1" applyBorder="1" applyAlignment="1">
      <alignment vertical="top" wrapText="1"/>
    </xf>
    <xf numFmtId="166" fontId="4" fillId="0" borderId="9" xfId="4" applyNumberFormat="1" applyFont="1" applyFill="1" applyBorder="1" applyAlignment="1">
      <alignment vertical="top" wrapText="1"/>
    </xf>
    <xf numFmtId="166" fontId="5" fillId="5" borderId="1" xfId="4" applyNumberFormat="1" applyFont="1" applyFill="1" applyBorder="1" applyAlignment="1">
      <alignment horizontal="center" vertical="top"/>
    </xf>
    <xf numFmtId="166" fontId="4" fillId="5" borderId="15" xfId="4" applyNumberFormat="1" applyFont="1" applyFill="1" applyBorder="1" applyAlignment="1">
      <alignment horizontal="right" vertical="top" wrapText="1"/>
    </xf>
    <xf numFmtId="0" fontId="4" fillId="0" borderId="3" xfId="0" applyFont="1" applyFill="1" applyBorder="1" applyAlignment="1">
      <alignment horizontal="center" vertical="top" wrapText="1"/>
    </xf>
    <xf numFmtId="3" fontId="4" fillId="0" borderId="3" xfId="0" applyNumberFormat="1" applyFont="1" applyFill="1" applyBorder="1" applyAlignment="1">
      <alignment horizontal="center" vertical="top" wrapText="1"/>
    </xf>
    <xf numFmtId="17" fontId="4" fillId="0" borderId="3" xfId="3" applyNumberFormat="1" applyFont="1" applyFill="1" applyBorder="1" applyAlignment="1">
      <alignment horizontal="center" vertical="top" wrapText="1"/>
    </xf>
    <xf numFmtId="166" fontId="4" fillId="0" borderId="3" xfId="4" applyNumberFormat="1" applyFont="1" applyFill="1" applyBorder="1" applyAlignment="1">
      <alignment horizontal="right" vertical="top" wrapText="1"/>
    </xf>
    <xf numFmtId="0" fontId="4" fillId="0" borderId="7" xfId="0" applyFont="1" applyFill="1" applyBorder="1"/>
    <xf numFmtId="0" fontId="4" fillId="0" borderId="15" xfId="0" quotePrefix="1" applyFont="1" applyFill="1" applyBorder="1" applyAlignment="1">
      <alignment horizontal="right"/>
    </xf>
    <xf numFmtId="0" fontId="4" fillId="0" borderId="1" xfId="0" applyFont="1" applyFill="1" applyBorder="1"/>
    <xf numFmtId="0" fontId="4" fillId="0" borderId="1" xfId="0" applyFont="1" applyFill="1" applyBorder="1" applyAlignment="1">
      <alignment horizontal="center"/>
    </xf>
    <xf numFmtId="17" fontId="5" fillId="0" borderId="1" xfId="2" applyNumberFormat="1" applyFont="1" applyFill="1" applyBorder="1" applyAlignment="1">
      <alignment horizontal="center" vertical="top" wrapText="1"/>
    </xf>
    <xf numFmtId="166" fontId="5" fillId="0" borderId="1" xfId="4" applyNumberFormat="1" applyFont="1" applyFill="1" applyBorder="1" applyAlignment="1">
      <alignment horizontal="right" vertical="top" wrapText="1"/>
    </xf>
    <xf numFmtId="166" fontId="4" fillId="0" borderId="11" xfId="4" applyNumberFormat="1" applyFont="1" applyFill="1" applyBorder="1" applyAlignment="1"/>
    <xf numFmtId="0" fontId="4" fillId="0" borderId="11" xfId="0" applyFont="1" applyFill="1" applyBorder="1"/>
    <xf numFmtId="0" fontId="5" fillId="0" borderId="0" xfId="0" quotePrefix="1" applyFont="1" applyFill="1" applyAlignment="1">
      <alignment horizontal="left" vertical="center"/>
    </xf>
    <xf numFmtId="0" fontId="5" fillId="0" borderId="0" xfId="0" applyFont="1" applyFill="1" applyAlignment="1">
      <alignment vertical="center"/>
    </xf>
    <xf numFmtId="0" fontId="5" fillId="0" borderId="0" xfId="0" applyFont="1" applyFill="1" applyBorder="1" applyAlignment="1">
      <alignment vertical="center"/>
    </xf>
    <xf numFmtId="0" fontId="22" fillId="3" borderId="10" xfId="0" applyFont="1" applyFill="1" applyBorder="1" applyAlignment="1">
      <alignment horizontal="center" vertical="top"/>
    </xf>
    <xf numFmtId="0" fontId="22" fillId="3" borderId="3" xfId="0" applyFont="1" applyFill="1" applyBorder="1" applyAlignment="1">
      <alignment horizontal="center" vertical="top"/>
    </xf>
    <xf numFmtId="0" fontId="22" fillId="3" borderId="9" xfId="0" applyFont="1" applyFill="1" applyBorder="1" applyAlignment="1">
      <alignment horizontal="center" vertical="top"/>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0" fontId="4" fillId="0" borderId="0" xfId="0" applyFont="1" applyFill="1" applyBorder="1" applyAlignment="1">
      <alignment horizontal="left" vertical="top" wrapText="1"/>
    </xf>
    <xf numFmtId="0" fontId="7" fillId="0" borderId="0" xfId="0" quotePrefix="1" applyFont="1" applyFill="1" applyBorder="1" applyAlignment="1">
      <alignment horizontal="left" vertical="top" wrapText="1"/>
    </xf>
    <xf numFmtId="0" fontId="7" fillId="0" borderId="0" xfId="0" applyFont="1" applyFill="1" applyBorder="1" applyAlignment="1">
      <alignment horizontal="left" vertical="top" wrapText="1"/>
    </xf>
    <xf numFmtId="0" fontId="10" fillId="0" borderId="2" xfId="2" applyFont="1" applyFill="1" applyBorder="1" applyAlignment="1">
      <alignment horizontal="left" vertical="top" wrapText="1"/>
    </xf>
    <xf numFmtId="0" fontId="19" fillId="3" borderId="2" xfId="16" applyFont="1" applyFill="1" applyBorder="1" applyAlignment="1">
      <alignment horizontal="center"/>
    </xf>
  </cellXfs>
  <cellStyles count="51">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4" xfId="7"/>
    <cellStyle name="Comma 4 2" xfId="15"/>
    <cellStyle name="Comma 5" xfId="29"/>
    <cellStyle name="Comma 5 2" xfId="44"/>
    <cellStyle name="Comma 6" xfId="41"/>
    <cellStyle name="Comma 6 2" xfId="50"/>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4" xfId="12"/>
    <cellStyle name="Normal 5" xfId="21"/>
    <cellStyle name="Normal 5 2" xfId="43"/>
    <cellStyle name="Normal 6" xfId="35"/>
    <cellStyle name="Normal 6 2" xfId="47"/>
    <cellStyle name="Normal 7" xfId="36"/>
    <cellStyle name="Normal 7 2" xfId="48"/>
    <cellStyle name="Normal 8" xfId="40"/>
    <cellStyle name="Normal 8 2" xfId="49"/>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CCFFCC"/>
      <color rgb="FFFFCCFF"/>
      <color rgb="FFDBE5F1"/>
      <color rgb="FFCCFFFF"/>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Update</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March 17,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ane.Vento\AppData\Local\Microsoft\Windows\Temporary%20Internet%20Files\Content.Outlook\V822K5TP\OOS%20Comparision%20-%20M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4 Summary"/>
      <sheetName val="2014"/>
      <sheetName val="Pivot"/>
      <sheetName val="Jan"/>
      <sheetName val="Master"/>
    </sheetNames>
    <sheetDataSet>
      <sheetData sheetId="0"/>
      <sheetData sheetId="1">
        <row r="4">
          <cell r="B4" t="str">
            <v>Deepwater Discovery</v>
          </cell>
          <cell r="C4">
            <v>-0.125</v>
          </cell>
          <cell r="D4">
            <v>0</v>
          </cell>
          <cell r="E4">
            <v>0</v>
          </cell>
          <cell r="F4">
            <v>0</v>
          </cell>
          <cell r="G4">
            <v>0</v>
          </cell>
          <cell r="H4">
            <v>0</v>
          </cell>
          <cell r="I4">
            <v>0</v>
          </cell>
          <cell r="J4">
            <v>0</v>
          </cell>
          <cell r="K4">
            <v>-0.125</v>
          </cell>
          <cell r="L4">
            <v>0</v>
          </cell>
          <cell r="M4">
            <v>0</v>
          </cell>
          <cell r="N4">
            <v>0</v>
          </cell>
          <cell r="O4">
            <v>-0.125</v>
          </cell>
          <cell r="P4">
            <v>0</v>
          </cell>
          <cell r="Q4">
            <v>0</v>
          </cell>
          <cell r="R4">
            <v>0</v>
          </cell>
        </row>
        <row r="5">
          <cell r="B5" t="str">
            <v>Discoverer Americas</v>
          </cell>
          <cell r="C5">
            <v>0</v>
          </cell>
          <cell r="D5">
            <v>18</v>
          </cell>
          <cell r="E5">
            <v>12</v>
          </cell>
          <cell r="F5">
            <v>0</v>
          </cell>
          <cell r="G5">
            <v>0</v>
          </cell>
          <cell r="H5">
            <v>5</v>
          </cell>
          <cell r="I5">
            <v>25</v>
          </cell>
          <cell r="J5">
            <v>0</v>
          </cell>
          <cell r="K5">
            <v>0</v>
          </cell>
          <cell r="L5">
            <v>18</v>
          </cell>
          <cell r="M5">
            <v>12</v>
          </cell>
          <cell r="N5">
            <v>0</v>
          </cell>
          <cell r="O5">
            <v>0</v>
          </cell>
          <cell r="P5">
            <v>18</v>
          </cell>
          <cell r="Q5">
            <v>12</v>
          </cell>
          <cell r="R5">
            <v>0</v>
          </cell>
        </row>
        <row r="6">
          <cell r="B6" t="str">
            <v>Discoverer Clear Leader</v>
          </cell>
          <cell r="C6">
            <v>0</v>
          </cell>
          <cell r="D6">
            <v>21</v>
          </cell>
          <cell r="E6">
            <v>0</v>
          </cell>
          <cell r="F6">
            <v>0</v>
          </cell>
          <cell r="G6">
            <v>0</v>
          </cell>
          <cell r="H6">
            <v>21</v>
          </cell>
          <cell r="I6">
            <v>0</v>
          </cell>
          <cell r="J6">
            <v>0</v>
          </cell>
          <cell r="K6">
            <v>0</v>
          </cell>
          <cell r="L6">
            <v>21</v>
          </cell>
          <cell r="M6">
            <v>0</v>
          </cell>
          <cell r="N6">
            <v>0</v>
          </cell>
          <cell r="O6">
            <v>0</v>
          </cell>
          <cell r="P6">
            <v>21</v>
          </cell>
          <cell r="Q6">
            <v>0</v>
          </cell>
          <cell r="R6">
            <v>0</v>
          </cell>
        </row>
        <row r="7">
          <cell r="B7" t="str">
            <v>Discoverer Enterprise</v>
          </cell>
          <cell r="C7">
            <v>0</v>
          </cell>
          <cell r="D7">
            <v>0</v>
          </cell>
          <cell r="E7">
            <v>0</v>
          </cell>
          <cell r="F7">
            <v>12</v>
          </cell>
          <cell r="G7">
            <v>0</v>
          </cell>
          <cell r="H7">
            <v>0</v>
          </cell>
          <cell r="I7">
            <v>0</v>
          </cell>
          <cell r="J7">
            <v>12</v>
          </cell>
          <cell r="K7">
            <v>0</v>
          </cell>
          <cell r="L7">
            <v>0</v>
          </cell>
          <cell r="M7">
            <v>0</v>
          </cell>
          <cell r="N7">
            <v>12</v>
          </cell>
          <cell r="O7">
            <v>0</v>
          </cell>
          <cell r="P7">
            <v>0</v>
          </cell>
          <cell r="Q7">
            <v>0</v>
          </cell>
          <cell r="R7">
            <v>12</v>
          </cell>
        </row>
        <row r="8">
          <cell r="B8" t="str">
            <v>Deepwater Frontier</v>
          </cell>
          <cell r="C8">
            <v>14</v>
          </cell>
          <cell r="D8">
            <v>0</v>
          </cell>
          <cell r="E8">
            <v>0</v>
          </cell>
          <cell r="F8">
            <v>0</v>
          </cell>
          <cell r="G8">
            <v>14</v>
          </cell>
          <cell r="H8">
            <v>0</v>
          </cell>
          <cell r="I8">
            <v>0</v>
          </cell>
          <cell r="J8">
            <v>0</v>
          </cell>
          <cell r="K8">
            <v>14</v>
          </cell>
          <cell r="L8">
            <v>0</v>
          </cell>
          <cell r="M8">
            <v>0</v>
          </cell>
          <cell r="N8">
            <v>0</v>
          </cell>
          <cell r="O8">
            <v>14</v>
          </cell>
          <cell r="P8">
            <v>0</v>
          </cell>
          <cell r="Q8">
            <v>0</v>
          </cell>
          <cell r="R8">
            <v>0</v>
          </cell>
        </row>
        <row r="9">
          <cell r="B9" t="str">
            <v>Deepwater Millennium</v>
          </cell>
          <cell r="C9">
            <v>72</v>
          </cell>
          <cell r="D9">
            <v>0</v>
          </cell>
          <cell r="E9">
            <v>0</v>
          </cell>
          <cell r="F9">
            <v>0</v>
          </cell>
          <cell r="G9">
            <v>72</v>
          </cell>
          <cell r="H9">
            <v>0</v>
          </cell>
          <cell r="I9">
            <v>0</v>
          </cell>
          <cell r="J9">
            <v>0</v>
          </cell>
          <cell r="K9">
            <v>90</v>
          </cell>
          <cell r="L9">
            <v>3</v>
          </cell>
          <cell r="M9">
            <v>0</v>
          </cell>
          <cell r="N9">
            <v>0</v>
          </cell>
          <cell r="O9">
            <v>90</v>
          </cell>
          <cell r="P9">
            <v>3</v>
          </cell>
          <cell r="Q9">
            <v>0</v>
          </cell>
          <cell r="R9">
            <v>0</v>
          </cell>
        </row>
        <row r="10">
          <cell r="B10" t="str">
            <v>Discoverer Spirit</v>
          </cell>
          <cell r="C10">
            <v>0</v>
          </cell>
          <cell r="D10">
            <v>0</v>
          </cell>
          <cell r="E10">
            <v>33</v>
          </cell>
          <cell r="F10">
            <v>51</v>
          </cell>
          <cell r="G10">
            <v>0</v>
          </cell>
          <cell r="H10">
            <v>0</v>
          </cell>
          <cell r="I10">
            <v>33</v>
          </cell>
          <cell r="J10">
            <v>51</v>
          </cell>
          <cell r="K10">
            <v>0</v>
          </cell>
          <cell r="L10">
            <v>0</v>
          </cell>
          <cell r="M10">
            <v>33</v>
          </cell>
          <cell r="N10">
            <v>51</v>
          </cell>
          <cell r="O10">
            <v>0</v>
          </cell>
          <cell r="P10">
            <v>0</v>
          </cell>
          <cell r="Q10">
            <v>33</v>
          </cell>
          <cell r="R10">
            <v>51</v>
          </cell>
        </row>
        <row r="11">
          <cell r="B11" t="str">
            <v>GSF Explorer</v>
          </cell>
          <cell r="C11">
            <v>0</v>
          </cell>
          <cell r="D11">
            <v>0</v>
          </cell>
          <cell r="E11">
            <v>0</v>
          </cell>
          <cell r="F11">
            <v>0</v>
          </cell>
          <cell r="G11">
            <v>0</v>
          </cell>
          <cell r="H11">
            <v>0</v>
          </cell>
          <cell r="I11">
            <v>0</v>
          </cell>
          <cell r="J11">
            <v>0</v>
          </cell>
          <cell r="K11">
            <v>0</v>
          </cell>
          <cell r="L11">
            <v>0</v>
          </cell>
          <cell r="M11">
            <v>15</v>
          </cell>
          <cell r="N11">
            <v>0</v>
          </cell>
          <cell r="O11">
            <v>0</v>
          </cell>
          <cell r="P11">
            <v>0</v>
          </cell>
          <cell r="Q11">
            <v>0</v>
          </cell>
          <cell r="R11">
            <v>0</v>
          </cell>
        </row>
        <row r="12">
          <cell r="B12" t="str">
            <v>GSF Development Driller I</v>
          </cell>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row>
        <row r="13">
          <cell r="B13" t="str">
            <v>GSF Development Driller II</v>
          </cell>
          <cell r="C13">
            <v>0</v>
          </cell>
          <cell r="D13">
            <v>20</v>
          </cell>
          <cell r="E13">
            <v>0</v>
          </cell>
          <cell r="F13">
            <v>0</v>
          </cell>
          <cell r="G13">
            <v>0</v>
          </cell>
          <cell r="H13">
            <v>20</v>
          </cell>
          <cell r="I13">
            <v>0</v>
          </cell>
          <cell r="J13">
            <v>0</v>
          </cell>
          <cell r="K13">
            <v>0</v>
          </cell>
          <cell r="L13">
            <v>20</v>
          </cell>
          <cell r="M13">
            <v>0</v>
          </cell>
          <cell r="N13">
            <v>0</v>
          </cell>
          <cell r="O13">
            <v>0</v>
          </cell>
          <cell r="P13">
            <v>20</v>
          </cell>
          <cell r="Q13">
            <v>0</v>
          </cell>
          <cell r="R13">
            <v>0</v>
          </cell>
        </row>
        <row r="14">
          <cell r="B14" t="str">
            <v>Development Driller III</v>
          </cell>
          <cell r="C14">
            <v>0</v>
          </cell>
          <cell r="D14">
            <v>12</v>
          </cell>
          <cell r="E14">
            <v>0</v>
          </cell>
          <cell r="F14">
            <v>0</v>
          </cell>
          <cell r="G14">
            <v>0</v>
          </cell>
          <cell r="H14">
            <v>12</v>
          </cell>
          <cell r="I14">
            <v>0</v>
          </cell>
          <cell r="J14">
            <v>0</v>
          </cell>
          <cell r="K14">
            <v>0</v>
          </cell>
          <cell r="L14">
            <v>12</v>
          </cell>
          <cell r="M14">
            <v>0</v>
          </cell>
          <cell r="N14">
            <v>0</v>
          </cell>
          <cell r="O14">
            <v>0</v>
          </cell>
          <cell r="P14">
            <v>12</v>
          </cell>
          <cell r="Q14">
            <v>0</v>
          </cell>
          <cell r="R14">
            <v>0</v>
          </cell>
        </row>
        <row r="15">
          <cell r="B15" t="str">
            <v>Cajun Express</v>
          </cell>
          <cell r="C15">
            <v>0</v>
          </cell>
          <cell r="D15">
            <v>0</v>
          </cell>
          <cell r="E15">
            <v>0</v>
          </cell>
          <cell r="F15">
            <v>39</v>
          </cell>
          <cell r="G15">
            <v>0</v>
          </cell>
          <cell r="H15">
            <v>0</v>
          </cell>
          <cell r="I15">
            <v>0</v>
          </cell>
          <cell r="J15">
            <v>32</v>
          </cell>
          <cell r="K15">
            <v>0</v>
          </cell>
          <cell r="L15">
            <v>0</v>
          </cell>
          <cell r="M15">
            <v>0</v>
          </cell>
          <cell r="N15">
            <v>39</v>
          </cell>
          <cell r="O15">
            <v>0</v>
          </cell>
          <cell r="P15">
            <v>0</v>
          </cell>
          <cell r="Q15">
            <v>0</v>
          </cell>
          <cell r="R15">
            <v>39</v>
          </cell>
        </row>
        <row r="16">
          <cell r="B16" t="str">
            <v>Dhirubhai Deepwater KG1</v>
          </cell>
          <cell r="C16">
            <v>0</v>
          </cell>
          <cell r="D16">
            <v>0</v>
          </cell>
          <cell r="E16">
            <v>62</v>
          </cell>
          <cell r="F16">
            <v>3</v>
          </cell>
          <cell r="G16">
            <v>0</v>
          </cell>
          <cell r="H16">
            <v>0</v>
          </cell>
          <cell r="I16">
            <v>41</v>
          </cell>
          <cell r="J16">
            <v>0</v>
          </cell>
          <cell r="K16">
            <v>0</v>
          </cell>
          <cell r="L16">
            <v>0</v>
          </cell>
          <cell r="M16">
            <v>62</v>
          </cell>
          <cell r="N16">
            <v>3</v>
          </cell>
          <cell r="O16">
            <v>0</v>
          </cell>
          <cell r="P16">
            <v>0</v>
          </cell>
          <cell r="Q16">
            <v>41</v>
          </cell>
          <cell r="R16">
            <v>0</v>
          </cell>
        </row>
        <row r="17">
          <cell r="B17" t="str">
            <v>Dhirubhai Deepwater KG2</v>
          </cell>
          <cell r="C17">
            <v>21</v>
          </cell>
          <cell r="D17">
            <v>0</v>
          </cell>
          <cell r="E17">
            <v>0</v>
          </cell>
          <cell r="F17">
            <v>0</v>
          </cell>
          <cell r="G17">
            <v>21</v>
          </cell>
          <cell r="H17">
            <v>0</v>
          </cell>
          <cell r="I17">
            <v>0</v>
          </cell>
          <cell r="J17">
            <v>0</v>
          </cell>
          <cell r="K17">
            <v>0</v>
          </cell>
          <cell r="L17">
            <v>21</v>
          </cell>
          <cell r="M17">
            <v>0</v>
          </cell>
          <cell r="N17">
            <v>0</v>
          </cell>
          <cell r="O17">
            <v>0</v>
          </cell>
          <cell r="P17">
            <v>21</v>
          </cell>
          <cell r="Q17">
            <v>0</v>
          </cell>
          <cell r="R17">
            <v>0</v>
          </cell>
        </row>
        <row r="18">
          <cell r="B18" t="str">
            <v>Petrobras 10000</v>
          </cell>
          <cell r="C18">
            <v>0</v>
          </cell>
          <cell r="D18">
            <v>0</v>
          </cell>
          <cell r="E18">
            <v>62</v>
          </cell>
          <cell r="F18">
            <v>11</v>
          </cell>
          <cell r="G18">
            <v>0</v>
          </cell>
          <cell r="H18">
            <v>0</v>
          </cell>
          <cell r="I18">
            <v>62</v>
          </cell>
          <cell r="J18">
            <v>11</v>
          </cell>
          <cell r="K18">
            <v>0</v>
          </cell>
          <cell r="L18">
            <v>0</v>
          </cell>
          <cell r="M18">
            <v>62</v>
          </cell>
          <cell r="N18">
            <v>11</v>
          </cell>
          <cell r="O18">
            <v>0</v>
          </cell>
          <cell r="P18">
            <v>0</v>
          </cell>
          <cell r="Q18">
            <v>62</v>
          </cell>
          <cell r="R18">
            <v>11</v>
          </cell>
        </row>
        <row r="19">
          <cell r="B19" t="str">
            <v>GSF Jack Ryan</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row>
        <row r="20">
          <cell r="B20" t="str">
            <v>Deepwater Nautilus</v>
          </cell>
          <cell r="C20">
            <v>0</v>
          </cell>
          <cell r="D20">
            <v>0</v>
          </cell>
          <cell r="E20">
            <v>30</v>
          </cell>
          <cell r="F20">
            <v>92</v>
          </cell>
          <cell r="G20">
            <v>0</v>
          </cell>
          <cell r="H20">
            <v>0</v>
          </cell>
          <cell r="I20">
            <v>30</v>
          </cell>
          <cell r="J20">
            <v>92</v>
          </cell>
          <cell r="K20">
            <v>0</v>
          </cell>
          <cell r="L20">
            <v>0</v>
          </cell>
          <cell r="M20">
            <v>30</v>
          </cell>
          <cell r="N20">
            <v>92</v>
          </cell>
          <cell r="O20">
            <v>0</v>
          </cell>
          <cell r="P20">
            <v>0</v>
          </cell>
          <cell r="Q20">
            <v>30</v>
          </cell>
          <cell r="R20">
            <v>92</v>
          </cell>
        </row>
        <row r="21">
          <cell r="B21" t="str">
            <v>Sedco Express</v>
          </cell>
          <cell r="C21">
            <v>0</v>
          </cell>
          <cell r="D21">
            <v>0</v>
          </cell>
          <cell r="E21">
            <v>0</v>
          </cell>
          <cell r="F21">
            <v>3</v>
          </cell>
          <cell r="G21">
            <v>0</v>
          </cell>
          <cell r="H21">
            <v>0</v>
          </cell>
          <cell r="I21">
            <v>0</v>
          </cell>
          <cell r="J21">
            <v>0</v>
          </cell>
          <cell r="K21">
            <v>0</v>
          </cell>
          <cell r="L21">
            <v>0</v>
          </cell>
          <cell r="M21">
            <v>0</v>
          </cell>
          <cell r="N21">
            <v>3</v>
          </cell>
          <cell r="O21">
            <v>0</v>
          </cell>
          <cell r="P21">
            <v>0</v>
          </cell>
          <cell r="Q21">
            <v>0</v>
          </cell>
          <cell r="R21">
            <v>0</v>
          </cell>
        </row>
        <row r="22">
          <cell r="B22" t="str">
            <v>Sedco Energy</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row>
        <row r="23">
          <cell r="B23" t="str">
            <v>Discoverer Seven Seas</v>
          </cell>
          <cell r="C23">
            <v>0</v>
          </cell>
          <cell r="D23">
            <v>0</v>
          </cell>
          <cell r="E23">
            <v>24</v>
          </cell>
          <cell r="F23">
            <v>0</v>
          </cell>
          <cell r="G23">
            <v>0</v>
          </cell>
          <cell r="H23">
            <v>0</v>
          </cell>
          <cell r="I23">
            <v>10</v>
          </cell>
          <cell r="J23">
            <v>0</v>
          </cell>
          <cell r="K23">
            <v>0</v>
          </cell>
          <cell r="L23">
            <v>0</v>
          </cell>
          <cell r="M23">
            <v>24</v>
          </cell>
          <cell r="N23">
            <v>0</v>
          </cell>
          <cell r="O23">
            <v>0</v>
          </cell>
          <cell r="P23">
            <v>0</v>
          </cell>
          <cell r="Q23">
            <v>10</v>
          </cell>
          <cell r="R23">
            <v>0</v>
          </cell>
        </row>
        <row r="24">
          <cell r="B24" t="str">
            <v>Jack Bates</v>
          </cell>
          <cell r="C24">
            <v>0</v>
          </cell>
          <cell r="D24">
            <v>14</v>
          </cell>
          <cell r="E24">
            <v>0</v>
          </cell>
          <cell r="F24">
            <v>0</v>
          </cell>
          <cell r="G24">
            <v>0</v>
          </cell>
          <cell r="H24">
            <v>0</v>
          </cell>
          <cell r="I24">
            <v>10</v>
          </cell>
          <cell r="J24">
            <v>0</v>
          </cell>
          <cell r="K24">
            <v>0</v>
          </cell>
          <cell r="L24">
            <v>14</v>
          </cell>
          <cell r="M24">
            <v>0</v>
          </cell>
          <cell r="N24">
            <v>0</v>
          </cell>
          <cell r="O24">
            <v>0</v>
          </cell>
          <cell r="P24">
            <v>10</v>
          </cell>
          <cell r="Q24">
            <v>0</v>
          </cell>
          <cell r="R24">
            <v>0</v>
          </cell>
        </row>
        <row r="25">
          <cell r="B25" t="str">
            <v>M.G. Hulme, Jr.</v>
          </cell>
          <cell r="C25">
            <v>21</v>
          </cell>
          <cell r="D25">
            <v>34</v>
          </cell>
          <cell r="E25">
            <v>0</v>
          </cell>
          <cell r="F25">
            <v>0</v>
          </cell>
          <cell r="G25">
            <v>21</v>
          </cell>
          <cell r="H25">
            <v>24</v>
          </cell>
          <cell r="I25">
            <v>0</v>
          </cell>
          <cell r="J25">
            <v>0</v>
          </cell>
          <cell r="K25">
            <v>0</v>
          </cell>
          <cell r="L25">
            <v>55</v>
          </cell>
          <cell r="M25">
            <v>0</v>
          </cell>
          <cell r="N25">
            <v>0</v>
          </cell>
          <cell r="O25">
            <v>0</v>
          </cell>
          <cell r="P25">
            <v>45</v>
          </cell>
          <cell r="Q25">
            <v>0</v>
          </cell>
          <cell r="R25">
            <v>0</v>
          </cell>
        </row>
        <row r="26">
          <cell r="B26" t="str">
            <v>Sedco 702</v>
          </cell>
          <cell r="C26">
            <v>59</v>
          </cell>
          <cell r="D26">
            <v>0</v>
          </cell>
          <cell r="E26">
            <v>0</v>
          </cell>
          <cell r="F26">
            <v>0</v>
          </cell>
          <cell r="G26">
            <v>76</v>
          </cell>
          <cell r="H26">
            <v>0</v>
          </cell>
          <cell r="I26">
            <v>0</v>
          </cell>
          <cell r="J26">
            <v>0</v>
          </cell>
          <cell r="K26">
            <v>64</v>
          </cell>
          <cell r="L26">
            <v>0</v>
          </cell>
          <cell r="M26">
            <v>0</v>
          </cell>
          <cell r="N26">
            <v>0</v>
          </cell>
          <cell r="O26">
            <v>64</v>
          </cell>
          <cell r="P26">
            <v>0</v>
          </cell>
          <cell r="Q26">
            <v>0</v>
          </cell>
          <cell r="R26">
            <v>0</v>
          </cell>
        </row>
        <row r="27">
          <cell r="B27" t="str">
            <v>Sedco 706</v>
          </cell>
          <cell r="C27">
            <v>0</v>
          </cell>
          <cell r="D27">
            <v>21</v>
          </cell>
          <cell r="E27">
            <v>0</v>
          </cell>
          <cell r="F27">
            <v>0</v>
          </cell>
          <cell r="G27">
            <v>0</v>
          </cell>
          <cell r="H27">
            <v>21</v>
          </cell>
          <cell r="I27">
            <v>0</v>
          </cell>
          <cell r="J27">
            <v>0</v>
          </cell>
          <cell r="K27">
            <v>0</v>
          </cell>
          <cell r="L27">
            <v>21</v>
          </cell>
          <cell r="M27">
            <v>0</v>
          </cell>
          <cell r="N27">
            <v>0</v>
          </cell>
          <cell r="O27">
            <v>0</v>
          </cell>
          <cell r="P27">
            <v>21</v>
          </cell>
          <cell r="Q27">
            <v>0</v>
          </cell>
          <cell r="R27">
            <v>0</v>
          </cell>
        </row>
        <row r="28">
          <cell r="B28" t="str">
            <v>GSF Celtic Sea</v>
          </cell>
          <cell r="C28">
            <v>0</v>
          </cell>
          <cell r="D28">
            <v>0</v>
          </cell>
          <cell r="E28">
            <v>4</v>
          </cell>
          <cell r="F28">
            <v>38</v>
          </cell>
          <cell r="G28">
            <v>0</v>
          </cell>
          <cell r="H28">
            <v>0</v>
          </cell>
          <cell r="I28">
            <v>0</v>
          </cell>
          <cell r="J28">
            <v>42</v>
          </cell>
          <cell r="K28">
            <v>0</v>
          </cell>
          <cell r="L28">
            <v>0</v>
          </cell>
          <cell r="M28">
            <v>4</v>
          </cell>
          <cell r="N28">
            <v>38</v>
          </cell>
          <cell r="O28">
            <v>0</v>
          </cell>
          <cell r="P28">
            <v>0</v>
          </cell>
          <cell r="Q28">
            <v>4</v>
          </cell>
          <cell r="R28">
            <v>38</v>
          </cell>
        </row>
        <row r="29">
          <cell r="B29" t="str">
            <v>Deepwater Navigator</v>
          </cell>
          <cell r="C29">
            <v>0</v>
          </cell>
          <cell r="D29">
            <v>0</v>
          </cell>
          <cell r="E29">
            <v>14</v>
          </cell>
          <cell r="F29">
            <v>0</v>
          </cell>
          <cell r="G29">
            <v>0</v>
          </cell>
          <cell r="H29">
            <v>0</v>
          </cell>
          <cell r="I29">
            <v>14</v>
          </cell>
          <cell r="J29">
            <v>0</v>
          </cell>
          <cell r="K29">
            <v>0</v>
          </cell>
          <cell r="L29">
            <v>0</v>
          </cell>
          <cell r="M29">
            <v>14</v>
          </cell>
          <cell r="N29">
            <v>0</v>
          </cell>
          <cell r="O29">
            <v>0</v>
          </cell>
          <cell r="P29">
            <v>0</v>
          </cell>
          <cell r="Q29">
            <v>14</v>
          </cell>
          <cell r="R29">
            <v>0</v>
          </cell>
        </row>
        <row r="30">
          <cell r="B30" t="str">
            <v>Transocean Marianas</v>
          </cell>
          <cell r="C30">
            <v>59</v>
          </cell>
          <cell r="D30">
            <v>13</v>
          </cell>
          <cell r="E30">
            <v>0</v>
          </cell>
          <cell r="F30">
            <v>0</v>
          </cell>
          <cell r="G30">
            <v>0</v>
          </cell>
          <cell r="H30">
            <v>0</v>
          </cell>
          <cell r="I30">
            <v>0</v>
          </cell>
          <cell r="J30">
            <v>0</v>
          </cell>
          <cell r="K30">
            <v>31</v>
          </cell>
          <cell r="L30">
            <v>35</v>
          </cell>
          <cell r="M30">
            <v>0</v>
          </cell>
          <cell r="N30">
            <v>0</v>
          </cell>
          <cell r="O30">
            <v>0</v>
          </cell>
          <cell r="P30">
            <v>0</v>
          </cell>
          <cell r="Q30">
            <v>0</v>
          </cell>
          <cell r="R30">
            <v>0</v>
          </cell>
        </row>
        <row r="31">
          <cell r="B31" t="str">
            <v>Transocean Rather</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row>
        <row r="32">
          <cell r="B32" t="str">
            <v>Transocean Barents</v>
          </cell>
          <cell r="C32">
            <v>0</v>
          </cell>
          <cell r="D32">
            <v>12</v>
          </cell>
          <cell r="E32">
            <v>70</v>
          </cell>
          <cell r="F32">
            <v>0</v>
          </cell>
          <cell r="G32">
            <v>0</v>
          </cell>
          <cell r="H32">
            <v>12</v>
          </cell>
          <cell r="I32">
            <v>70</v>
          </cell>
          <cell r="J32">
            <v>0</v>
          </cell>
          <cell r="K32">
            <v>0</v>
          </cell>
          <cell r="L32">
            <v>12</v>
          </cell>
          <cell r="M32">
            <v>70</v>
          </cell>
          <cell r="N32">
            <v>0</v>
          </cell>
          <cell r="O32">
            <v>0</v>
          </cell>
          <cell r="P32">
            <v>12</v>
          </cell>
          <cell r="Q32">
            <v>70</v>
          </cell>
          <cell r="R32">
            <v>0</v>
          </cell>
        </row>
        <row r="33">
          <cell r="B33" t="str">
            <v>Transocean Arctic</v>
          </cell>
          <cell r="C33">
            <v>0</v>
          </cell>
          <cell r="D33">
            <v>0</v>
          </cell>
          <cell r="E33">
            <v>34</v>
          </cell>
          <cell r="F33">
            <v>44</v>
          </cell>
          <cell r="G33">
            <v>0</v>
          </cell>
          <cell r="H33">
            <v>0</v>
          </cell>
          <cell r="I33">
            <v>34</v>
          </cell>
          <cell r="J33">
            <v>44</v>
          </cell>
          <cell r="K33">
            <v>0</v>
          </cell>
          <cell r="L33">
            <v>0</v>
          </cell>
          <cell r="M33">
            <v>34</v>
          </cell>
          <cell r="N33">
            <v>44</v>
          </cell>
          <cell r="O33">
            <v>0</v>
          </cell>
          <cell r="P33">
            <v>0</v>
          </cell>
          <cell r="Q33">
            <v>34</v>
          </cell>
          <cell r="R33">
            <v>44</v>
          </cell>
        </row>
        <row r="34">
          <cell r="B34" t="str">
            <v>Polar Pioneer</v>
          </cell>
          <cell r="C34">
            <v>0</v>
          </cell>
          <cell r="D34">
            <v>91</v>
          </cell>
          <cell r="E34">
            <v>92</v>
          </cell>
          <cell r="F34">
            <v>92</v>
          </cell>
          <cell r="G34">
            <v>0</v>
          </cell>
          <cell r="H34">
            <v>91</v>
          </cell>
          <cell r="I34">
            <v>23</v>
          </cell>
          <cell r="J34">
            <v>0</v>
          </cell>
          <cell r="K34">
            <v>0</v>
          </cell>
          <cell r="L34">
            <v>91</v>
          </cell>
          <cell r="M34">
            <v>23</v>
          </cell>
          <cell r="N34">
            <v>0</v>
          </cell>
          <cell r="O34">
            <v>0</v>
          </cell>
          <cell r="P34">
            <v>91</v>
          </cell>
          <cell r="Q34">
            <v>23</v>
          </cell>
          <cell r="R34">
            <v>0</v>
          </cell>
        </row>
        <row r="35">
          <cell r="B35" t="str">
            <v>GSF Arctic I</v>
          </cell>
          <cell r="C35">
            <v>0</v>
          </cell>
          <cell r="D35">
            <v>30</v>
          </cell>
          <cell r="E35">
            <v>0</v>
          </cell>
          <cell r="F35">
            <v>0</v>
          </cell>
          <cell r="G35">
            <v>0</v>
          </cell>
          <cell r="H35">
            <v>0</v>
          </cell>
          <cell r="I35">
            <v>0</v>
          </cell>
          <cell r="J35">
            <v>0</v>
          </cell>
          <cell r="K35">
            <v>0</v>
          </cell>
          <cell r="L35">
            <v>30</v>
          </cell>
          <cell r="M35">
            <v>0</v>
          </cell>
          <cell r="N35">
            <v>0</v>
          </cell>
          <cell r="O35">
            <v>0</v>
          </cell>
          <cell r="P35">
            <v>0</v>
          </cell>
          <cell r="Q35">
            <v>0</v>
          </cell>
          <cell r="R35">
            <v>0</v>
          </cell>
        </row>
        <row r="36">
          <cell r="B36" t="str">
            <v>Actinia</v>
          </cell>
          <cell r="C36">
            <v>0</v>
          </cell>
          <cell r="D36">
            <v>0</v>
          </cell>
          <cell r="E36">
            <v>21</v>
          </cell>
          <cell r="F36">
            <v>0</v>
          </cell>
          <cell r="G36">
            <v>0</v>
          </cell>
          <cell r="H36">
            <v>0</v>
          </cell>
          <cell r="I36">
            <v>21</v>
          </cell>
          <cell r="J36">
            <v>0</v>
          </cell>
          <cell r="K36">
            <v>0</v>
          </cell>
          <cell r="L36">
            <v>0</v>
          </cell>
          <cell r="M36">
            <v>21</v>
          </cell>
          <cell r="N36">
            <v>0</v>
          </cell>
          <cell r="O36">
            <v>0</v>
          </cell>
          <cell r="P36">
            <v>0</v>
          </cell>
          <cell r="Q36">
            <v>21</v>
          </cell>
          <cell r="R36">
            <v>0</v>
          </cell>
        </row>
        <row r="37">
          <cell r="B37" t="str">
            <v>GSF Grand Banks</v>
          </cell>
          <cell r="C37">
            <v>90</v>
          </cell>
          <cell r="D37">
            <v>16</v>
          </cell>
          <cell r="E37">
            <v>0</v>
          </cell>
          <cell r="F37">
            <v>0</v>
          </cell>
          <cell r="G37">
            <v>75</v>
          </cell>
          <cell r="H37">
            <v>0</v>
          </cell>
          <cell r="I37">
            <v>0</v>
          </cell>
          <cell r="J37">
            <v>0</v>
          </cell>
          <cell r="K37">
            <v>40.791666666666664</v>
          </cell>
          <cell r="L37">
            <v>41</v>
          </cell>
          <cell r="M37">
            <v>0</v>
          </cell>
          <cell r="N37">
            <v>0</v>
          </cell>
          <cell r="O37">
            <v>35.791666666666664</v>
          </cell>
          <cell r="P37">
            <v>20</v>
          </cell>
          <cell r="Q37">
            <v>0</v>
          </cell>
          <cell r="R37">
            <v>0</v>
          </cell>
        </row>
        <row r="38">
          <cell r="B38" t="str">
            <v>GSF Rig 140</v>
          </cell>
          <cell r="C38">
            <v>0</v>
          </cell>
          <cell r="D38">
            <v>0</v>
          </cell>
          <cell r="E38">
            <v>0</v>
          </cell>
          <cell r="F38">
            <v>36</v>
          </cell>
          <cell r="G38">
            <v>0</v>
          </cell>
          <cell r="H38">
            <v>0</v>
          </cell>
          <cell r="I38">
            <v>0</v>
          </cell>
          <cell r="J38">
            <v>30</v>
          </cell>
          <cell r="K38">
            <v>0</v>
          </cell>
          <cell r="L38">
            <v>0</v>
          </cell>
          <cell r="M38">
            <v>0</v>
          </cell>
          <cell r="N38">
            <v>36</v>
          </cell>
          <cell r="O38">
            <v>0</v>
          </cell>
          <cell r="P38">
            <v>0</v>
          </cell>
          <cell r="Q38">
            <v>0</v>
          </cell>
          <cell r="R38">
            <v>30</v>
          </cell>
        </row>
        <row r="39">
          <cell r="B39" t="str">
            <v>Transocean Legend</v>
          </cell>
          <cell r="C39">
            <v>45</v>
          </cell>
          <cell r="D39">
            <v>0</v>
          </cell>
          <cell r="E39">
            <v>5</v>
          </cell>
          <cell r="F39">
            <v>0</v>
          </cell>
          <cell r="G39">
            <v>45</v>
          </cell>
          <cell r="H39">
            <v>0</v>
          </cell>
          <cell r="I39">
            <v>0</v>
          </cell>
          <cell r="J39">
            <v>0</v>
          </cell>
          <cell r="K39">
            <v>29</v>
          </cell>
          <cell r="L39">
            <v>0</v>
          </cell>
          <cell r="M39">
            <v>5</v>
          </cell>
          <cell r="N39">
            <v>0</v>
          </cell>
          <cell r="O39">
            <v>29</v>
          </cell>
          <cell r="P39">
            <v>0</v>
          </cell>
          <cell r="Q39">
            <v>5</v>
          </cell>
          <cell r="R39">
            <v>0</v>
          </cell>
        </row>
        <row r="40">
          <cell r="B40" t="str">
            <v>Transocean Amirante</v>
          </cell>
          <cell r="C40">
            <v>28</v>
          </cell>
          <cell r="D40">
            <v>32</v>
          </cell>
          <cell r="E40">
            <v>0</v>
          </cell>
          <cell r="F40">
            <v>0</v>
          </cell>
          <cell r="G40">
            <v>0</v>
          </cell>
          <cell r="H40">
            <v>0</v>
          </cell>
          <cell r="I40">
            <v>0</v>
          </cell>
          <cell r="J40">
            <v>0</v>
          </cell>
          <cell r="K40">
            <v>0</v>
          </cell>
          <cell r="L40">
            <v>58</v>
          </cell>
          <cell r="M40">
            <v>0</v>
          </cell>
          <cell r="N40">
            <v>0</v>
          </cell>
          <cell r="O40">
            <v>0</v>
          </cell>
          <cell r="P40">
            <v>0</v>
          </cell>
          <cell r="Q40">
            <v>0</v>
          </cell>
          <cell r="R40">
            <v>0</v>
          </cell>
        </row>
        <row r="41">
          <cell r="B41" t="str">
            <v>Sedco 704</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row>
        <row r="42">
          <cell r="B42" t="str">
            <v>Sedco 711</v>
          </cell>
          <cell r="C42">
            <v>12.916666666666666</v>
          </cell>
          <cell r="D42">
            <v>0</v>
          </cell>
          <cell r="E42">
            <v>0</v>
          </cell>
          <cell r="F42">
            <v>0</v>
          </cell>
          <cell r="G42">
            <v>8</v>
          </cell>
          <cell r="H42">
            <v>0</v>
          </cell>
          <cell r="I42">
            <v>0</v>
          </cell>
          <cell r="J42">
            <v>0</v>
          </cell>
          <cell r="K42">
            <v>59</v>
          </cell>
          <cell r="L42">
            <v>0</v>
          </cell>
          <cell r="M42">
            <v>0</v>
          </cell>
          <cell r="N42">
            <v>0</v>
          </cell>
          <cell r="O42">
            <v>59</v>
          </cell>
          <cell r="P42">
            <v>0</v>
          </cell>
          <cell r="Q42">
            <v>0</v>
          </cell>
          <cell r="R42">
            <v>0</v>
          </cell>
        </row>
        <row r="43">
          <cell r="B43" t="str">
            <v>Sedco 714</v>
          </cell>
          <cell r="C43">
            <v>0</v>
          </cell>
          <cell r="D43">
            <v>83</v>
          </cell>
          <cell r="E43">
            <v>37</v>
          </cell>
          <cell r="F43">
            <v>0</v>
          </cell>
          <cell r="G43">
            <v>0</v>
          </cell>
          <cell r="H43">
            <v>83</v>
          </cell>
          <cell r="I43">
            <v>37</v>
          </cell>
          <cell r="J43">
            <v>0</v>
          </cell>
          <cell r="K43">
            <v>0</v>
          </cell>
          <cell r="L43">
            <v>83</v>
          </cell>
          <cell r="M43">
            <v>37</v>
          </cell>
          <cell r="N43">
            <v>0</v>
          </cell>
          <cell r="O43">
            <v>0</v>
          </cell>
          <cell r="P43">
            <v>83</v>
          </cell>
          <cell r="Q43">
            <v>37</v>
          </cell>
          <cell r="R43">
            <v>0</v>
          </cell>
        </row>
        <row r="44">
          <cell r="B44" t="str">
            <v>Sedneth 701</v>
          </cell>
          <cell r="C44">
            <v>0</v>
          </cell>
          <cell r="D44">
            <v>35</v>
          </cell>
          <cell r="E44">
            <v>11</v>
          </cell>
          <cell r="F44">
            <v>49</v>
          </cell>
          <cell r="G44">
            <v>0</v>
          </cell>
          <cell r="H44">
            <v>35</v>
          </cell>
          <cell r="I44">
            <v>0</v>
          </cell>
          <cell r="J44">
            <v>0</v>
          </cell>
          <cell r="K44">
            <v>0</v>
          </cell>
          <cell r="L44">
            <v>35</v>
          </cell>
          <cell r="M44">
            <v>11</v>
          </cell>
          <cell r="N44">
            <v>49</v>
          </cell>
          <cell r="O44">
            <v>0</v>
          </cell>
          <cell r="P44">
            <v>35</v>
          </cell>
          <cell r="Q44">
            <v>0</v>
          </cell>
          <cell r="R44">
            <v>0</v>
          </cell>
        </row>
        <row r="45">
          <cell r="B45" t="str">
            <v>GSF Arctic III</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row>
        <row r="46">
          <cell r="B46" t="str">
            <v>Transocean Driller</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row>
        <row r="47">
          <cell r="B47" t="str">
            <v>Transocean John Shaw</v>
          </cell>
          <cell r="C47">
            <v>81.458333333333329</v>
          </cell>
          <cell r="D47">
            <v>26</v>
          </cell>
          <cell r="E47">
            <v>0</v>
          </cell>
          <cell r="F47">
            <v>0</v>
          </cell>
          <cell r="G47">
            <v>80</v>
          </cell>
          <cell r="H47">
            <v>26</v>
          </cell>
          <cell r="I47">
            <v>0</v>
          </cell>
          <cell r="J47">
            <v>0</v>
          </cell>
          <cell r="K47">
            <v>81.458333333333329</v>
          </cell>
          <cell r="L47">
            <v>26</v>
          </cell>
          <cell r="M47">
            <v>0</v>
          </cell>
          <cell r="N47">
            <v>0</v>
          </cell>
          <cell r="O47">
            <v>81.458333333333329</v>
          </cell>
          <cell r="P47">
            <v>26</v>
          </cell>
          <cell r="Q47">
            <v>0</v>
          </cell>
          <cell r="R47">
            <v>0</v>
          </cell>
        </row>
        <row r="48">
          <cell r="B48" t="str">
            <v>GSF Constellation I</v>
          </cell>
          <cell r="C48">
            <v>0</v>
          </cell>
          <cell r="D48">
            <v>0</v>
          </cell>
          <cell r="E48">
            <v>0</v>
          </cell>
          <cell r="F48">
            <v>0</v>
          </cell>
          <cell r="G48">
            <v>7</v>
          </cell>
          <cell r="H48">
            <v>0</v>
          </cell>
          <cell r="I48">
            <v>0</v>
          </cell>
          <cell r="J48">
            <v>0</v>
          </cell>
          <cell r="K48">
            <v>0</v>
          </cell>
          <cell r="L48">
            <v>0</v>
          </cell>
          <cell r="M48">
            <v>0</v>
          </cell>
          <cell r="N48">
            <v>0</v>
          </cell>
          <cell r="O48">
            <v>0</v>
          </cell>
          <cell r="P48">
            <v>0</v>
          </cell>
          <cell r="Q48">
            <v>0</v>
          </cell>
          <cell r="R48">
            <v>0</v>
          </cell>
        </row>
        <row r="49">
          <cell r="B49" t="str">
            <v>GSF Galaxy I</v>
          </cell>
          <cell r="C49">
            <v>49</v>
          </cell>
          <cell r="D49">
            <v>0</v>
          </cell>
          <cell r="E49">
            <v>0</v>
          </cell>
          <cell r="F49">
            <v>0</v>
          </cell>
          <cell r="G49">
            <v>90</v>
          </cell>
          <cell r="H49">
            <v>22</v>
          </cell>
          <cell r="I49">
            <v>0</v>
          </cell>
          <cell r="J49">
            <v>0</v>
          </cell>
          <cell r="K49">
            <v>43.916666666666664</v>
          </cell>
          <cell r="L49">
            <v>31</v>
          </cell>
          <cell r="M49">
            <v>0</v>
          </cell>
          <cell r="N49">
            <v>0</v>
          </cell>
          <cell r="O49">
            <v>43.916666666666664</v>
          </cell>
          <cell r="P49">
            <v>28</v>
          </cell>
          <cell r="Q49">
            <v>0</v>
          </cell>
          <cell r="R49">
            <v>0</v>
          </cell>
        </row>
        <row r="50">
          <cell r="B50" t="str">
            <v>GSF Galaxy II</v>
          </cell>
          <cell r="C50">
            <v>59</v>
          </cell>
          <cell r="D50">
            <v>0</v>
          </cell>
          <cell r="E50">
            <v>0</v>
          </cell>
          <cell r="F50">
            <v>0</v>
          </cell>
          <cell r="G50">
            <v>14</v>
          </cell>
          <cell r="H50">
            <v>0</v>
          </cell>
          <cell r="I50">
            <v>0</v>
          </cell>
          <cell r="J50">
            <v>0</v>
          </cell>
          <cell r="K50">
            <v>63</v>
          </cell>
          <cell r="L50">
            <v>0</v>
          </cell>
          <cell r="M50">
            <v>0</v>
          </cell>
          <cell r="N50">
            <v>0</v>
          </cell>
          <cell r="O50">
            <v>18</v>
          </cell>
          <cell r="P50">
            <v>0</v>
          </cell>
          <cell r="Q50">
            <v>0</v>
          </cell>
          <cell r="R50">
            <v>0</v>
          </cell>
        </row>
        <row r="51">
          <cell r="B51" t="str">
            <v>Transocean Honor</v>
          </cell>
          <cell r="C51">
            <v>0</v>
          </cell>
          <cell r="D51">
            <v>0</v>
          </cell>
          <cell r="E51">
            <v>0</v>
          </cell>
          <cell r="F51">
            <v>9</v>
          </cell>
          <cell r="G51">
            <v>0</v>
          </cell>
          <cell r="H51">
            <v>0</v>
          </cell>
          <cell r="I51">
            <v>0</v>
          </cell>
          <cell r="J51">
            <v>9</v>
          </cell>
          <cell r="K51">
            <v>0</v>
          </cell>
          <cell r="L51">
            <v>0</v>
          </cell>
          <cell r="M51">
            <v>0</v>
          </cell>
          <cell r="N51">
            <v>9</v>
          </cell>
          <cell r="O51">
            <v>0</v>
          </cell>
          <cell r="P51">
            <v>0</v>
          </cell>
          <cell r="Q51">
            <v>0</v>
          </cell>
          <cell r="R51">
            <v>9</v>
          </cell>
        </row>
        <row r="52">
          <cell r="B52" t="str">
            <v>GSF Galaxy III</v>
          </cell>
          <cell r="C52">
            <v>0</v>
          </cell>
          <cell r="D52">
            <v>0</v>
          </cell>
          <cell r="E52">
            <v>54</v>
          </cell>
          <cell r="F52">
            <v>42</v>
          </cell>
          <cell r="G52">
            <v>0</v>
          </cell>
          <cell r="H52">
            <v>0</v>
          </cell>
          <cell r="I52">
            <v>50</v>
          </cell>
          <cell r="J52">
            <v>39</v>
          </cell>
          <cell r="K52">
            <v>0</v>
          </cell>
          <cell r="L52">
            <v>0</v>
          </cell>
          <cell r="M52">
            <v>54</v>
          </cell>
          <cell r="N52">
            <v>42</v>
          </cell>
          <cell r="O52">
            <v>0</v>
          </cell>
          <cell r="P52">
            <v>0</v>
          </cell>
          <cell r="Q52">
            <v>50</v>
          </cell>
          <cell r="R52">
            <v>39</v>
          </cell>
        </row>
        <row r="53">
          <cell r="B53" t="str">
            <v>GSF Magellan</v>
          </cell>
          <cell r="C53">
            <v>0</v>
          </cell>
          <cell r="D53">
            <v>21</v>
          </cell>
          <cell r="E53">
            <v>0</v>
          </cell>
          <cell r="F53">
            <v>0</v>
          </cell>
          <cell r="G53">
            <v>0</v>
          </cell>
          <cell r="H53">
            <v>21</v>
          </cell>
          <cell r="I53">
            <v>0</v>
          </cell>
          <cell r="J53">
            <v>0</v>
          </cell>
          <cell r="K53">
            <v>0</v>
          </cell>
          <cell r="L53">
            <v>28</v>
          </cell>
          <cell r="M53">
            <v>0</v>
          </cell>
          <cell r="N53">
            <v>0</v>
          </cell>
          <cell r="O53">
            <v>0</v>
          </cell>
          <cell r="P53">
            <v>28</v>
          </cell>
          <cell r="Q53">
            <v>0</v>
          </cell>
          <cell r="R53">
            <v>0</v>
          </cell>
        </row>
        <row r="54">
          <cell r="B54" t="str">
            <v>GSF Monitor</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row>
      </sheetData>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18</v>
      </c>
      <c r="B11" s="7"/>
      <c r="C11" s="71"/>
      <c r="D11" s="7"/>
      <c r="E11" s="7"/>
      <c r="F11" s="7"/>
      <c r="G11" s="7"/>
      <c r="H11" s="7"/>
      <c r="I11" s="7"/>
      <c r="J11" s="7"/>
      <c r="K11" s="7"/>
      <c r="L11" s="7"/>
    </row>
    <row r="12" spans="1:17" ht="409.5" customHeight="1" x14ac:dyDescent="0.35">
      <c r="A12" s="7"/>
      <c r="B12" s="7"/>
      <c r="C12" s="39"/>
      <c r="D12" s="7"/>
      <c r="E12" s="7"/>
      <c r="F12" s="7"/>
      <c r="G12" s="7"/>
      <c r="H12" s="7"/>
      <c r="I12" s="7"/>
      <c r="J12" s="7"/>
      <c r="K12" s="7"/>
      <c r="L12" s="7"/>
      <c r="Q12" s="37"/>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AE33"/>
  <sheetViews>
    <sheetView view="pageBreakPreview" zoomScale="70" zoomScaleNormal="100" zoomScaleSheetLayoutView="70" workbookViewId="0">
      <pane xSplit="1" ySplit="10" topLeftCell="B11" activePane="bottomRight" state="frozen"/>
      <selection activeCell="C17" sqref="C17"/>
      <selection pane="topRight" activeCell="C17" sqref="C17"/>
      <selection pane="bottomLeft" activeCell="C17" sqref="C17"/>
      <selection pane="bottomRight" activeCell="B1" sqref="B1"/>
    </sheetView>
  </sheetViews>
  <sheetFormatPr defaultRowHeight="12.75" x14ac:dyDescent="0.2"/>
  <cols>
    <col min="1" max="1" width="38.28515625" style="7" customWidth="1"/>
    <col min="2" max="2" width="14" style="7" customWidth="1"/>
    <col min="3" max="3" width="13.28515625" style="7" customWidth="1"/>
    <col min="4" max="4" width="14" style="7" customWidth="1"/>
    <col min="5" max="5" width="14.5703125" style="7" customWidth="1"/>
    <col min="6" max="6" width="12.140625" style="7" customWidth="1"/>
    <col min="7" max="7" width="12" style="7" customWidth="1"/>
    <col min="8" max="8" width="18.7109375" style="7" customWidth="1"/>
    <col min="9" max="9" width="17" style="7" customWidth="1"/>
    <col min="10" max="10" width="12.5703125" style="7" customWidth="1"/>
    <col min="11" max="11" width="12" style="7" customWidth="1"/>
    <col min="12" max="12" width="18.85546875" style="7" customWidth="1"/>
    <col min="13" max="13" width="19.7109375" style="7" customWidth="1"/>
    <col min="14" max="14" width="2.7109375" style="34" customWidth="1"/>
    <col min="15" max="18" width="11.7109375" style="7" customWidth="1"/>
    <col min="19" max="16384" width="9.140625" style="7"/>
  </cols>
  <sheetData>
    <row r="1" spans="1:31" ht="41.25" customHeight="1" x14ac:dyDescent="0.2">
      <c r="C1" s="39"/>
      <c r="E1" s="42"/>
      <c r="F1" s="42"/>
      <c r="H1" s="40"/>
    </row>
    <row r="2" spans="1:31" ht="13.5" customHeight="1" x14ac:dyDescent="0.2">
      <c r="A2" s="41" t="s">
        <v>93</v>
      </c>
      <c r="B2" s="140"/>
      <c r="C2" s="139"/>
      <c r="K2" s="43"/>
      <c r="L2" s="43"/>
    </row>
    <row r="3" spans="1:31" ht="16.5" customHeight="1" x14ac:dyDescent="0.2">
      <c r="A3" s="245" t="s">
        <v>72</v>
      </c>
      <c r="B3" s="245"/>
      <c r="C3" s="246"/>
      <c r="D3" s="246"/>
      <c r="E3" s="246"/>
      <c r="F3" s="246"/>
      <c r="G3" s="246"/>
      <c r="H3" s="246"/>
      <c r="I3" s="246"/>
      <c r="J3" s="246"/>
      <c r="K3" s="246"/>
      <c r="L3" s="246"/>
      <c r="M3" s="246"/>
      <c r="N3" s="147"/>
    </row>
    <row r="4" spans="1:31" x14ac:dyDescent="0.2">
      <c r="A4" s="247" t="s">
        <v>36</v>
      </c>
      <c r="B4" s="247"/>
      <c r="C4" s="247"/>
      <c r="D4" s="247"/>
      <c r="E4" s="247"/>
      <c r="F4" s="247"/>
      <c r="G4" s="247"/>
      <c r="H4" s="247"/>
      <c r="I4" s="247"/>
      <c r="J4" s="247"/>
      <c r="K4" s="247"/>
      <c r="L4" s="247"/>
      <c r="M4" s="247"/>
      <c r="N4" s="147"/>
    </row>
    <row r="5" spans="1:31" x14ac:dyDescent="0.2">
      <c r="A5" s="27"/>
      <c r="B5" s="27"/>
      <c r="C5" s="44"/>
      <c r="D5" s="44"/>
      <c r="E5" s="44"/>
      <c r="F5" s="44"/>
      <c r="G5" s="44"/>
      <c r="H5" s="44"/>
      <c r="I5" s="44"/>
      <c r="L5" s="4"/>
      <c r="M5" s="4"/>
      <c r="N5" s="4"/>
    </row>
    <row r="6" spans="1:31" s="34" customFormat="1" ht="15.75" x14ac:dyDescent="0.25">
      <c r="A6" s="51"/>
      <c r="B6" s="69"/>
      <c r="C6" s="96"/>
      <c r="D6" s="53"/>
      <c r="E6" s="54"/>
      <c r="F6" s="55"/>
      <c r="G6" s="55"/>
      <c r="H6" s="56"/>
      <c r="I6" s="56"/>
      <c r="J6" s="55"/>
      <c r="K6" s="55"/>
      <c r="L6" s="55" t="s">
        <v>35</v>
      </c>
      <c r="M6" s="118" t="s">
        <v>35</v>
      </c>
      <c r="N6" s="124"/>
      <c r="O6" s="248" t="s">
        <v>82</v>
      </c>
      <c r="P6" s="249"/>
      <c r="Q6" s="249"/>
      <c r="R6" s="250"/>
    </row>
    <row r="7" spans="1:31" s="34" customFormat="1" ht="15.75" x14ac:dyDescent="0.25">
      <c r="A7" s="217"/>
      <c r="B7" s="218"/>
      <c r="C7" s="219"/>
      <c r="D7" s="220"/>
      <c r="E7" s="221" t="s">
        <v>58</v>
      </c>
      <c r="F7" s="58" t="s">
        <v>5</v>
      </c>
      <c r="G7" s="58" t="s">
        <v>54</v>
      </c>
      <c r="H7" s="57"/>
      <c r="I7" s="57"/>
      <c r="J7" s="58" t="s">
        <v>27</v>
      </c>
      <c r="K7" s="58" t="s">
        <v>27</v>
      </c>
      <c r="L7" s="58" t="s">
        <v>86</v>
      </c>
      <c r="M7" s="222" t="s">
        <v>87</v>
      </c>
      <c r="N7" s="124"/>
      <c r="O7" s="212"/>
      <c r="P7" s="213"/>
      <c r="Q7" s="213"/>
      <c r="R7" s="214"/>
    </row>
    <row r="8" spans="1:31" s="34" customFormat="1" ht="14.25" customHeight="1" x14ac:dyDescent="0.2">
      <c r="A8" s="52"/>
      <c r="B8" s="223" t="s">
        <v>62</v>
      </c>
      <c r="C8" s="224" t="s">
        <v>21</v>
      </c>
      <c r="D8" s="58" t="s">
        <v>55</v>
      </c>
      <c r="E8" s="58" t="s">
        <v>26</v>
      </c>
      <c r="F8" s="58" t="s">
        <v>6</v>
      </c>
      <c r="G8" s="58" t="s">
        <v>6</v>
      </c>
      <c r="H8" s="57"/>
      <c r="I8" s="57"/>
      <c r="J8" s="58" t="s">
        <v>56</v>
      </c>
      <c r="K8" s="58" t="s">
        <v>60</v>
      </c>
      <c r="L8" s="63" t="s">
        <v>88</v>
      </c>
      <c r="M8" s="119" t="s">
        <v>89</v>
      </c>
      <c r="N8" s="116"/>
      <c r="O8" s="251">
        <v>2014</v>
      </c>
      <c r="P8" s="252"/>
      <c r="Q8" s="252"/>
      <c r="R8" s="253"/>
    </row>
    <row r="9" spans="1:31" s="34" customFormat="1" ht="13.5" customHeight="1" x14ac:dyDescent="0.2">
      <c r="A9" s="62" t="s">
        <v>4</v>
      </c>
      <c r="B9" s="70" t="s">
        <v>63</v>
      </c>
      <c r="C9" s="97" t="s">
        <v>22</v>
      </c>
      <c r="D9" s="98" t="s">
        <v>57</v>
      </c>
      <c r="E9" s="59" t="s">
        <v>7</v>
      </c>
      <c r="F9" s="60" t="s">
        <v>28</v>
      </c>
      <c r="G9" s="60" t="s">
        <v>28</v>
      </c>
      <c r="H9" s="61" t="s">
        <v>9</v>
      </c>
      <c r="I9" s="61" t="s">
        <v>34</v>
      </c>
      <c r="J9" s="59" t="s">
        <v>59</v>
      </c>
      <c r="K9" s="59" t="s">
        <v>61</v>
      </c>
      <c r="L9" s="60" t="s">
        <v>29</v>
      </c>
      <c r="M9" s="120" t="s">
        <v>29</v>
      </c>
      <c r="N9" s="125"/>
      <c r="O9" s="90" t="s">
        <v>74</v>
      </c>
      <c r="P9" s="64" t="s">
        <v>75</v>
      </c>
      <c r="Q9" s="64" t="s">
        <v>76</v>
      </c>
      <c r="R9" s="65" t="s">
        <v>73</v>
      </c>
    </row>
    <row r="10" spans="1:31" s="34" customFormat="1" ht="9" customHeight="1" x14ac:dyDescent="0.2">
      <c r="A10" s="80"/>
      <c r="B10" s="68"/>
      <c r="C10" s="4"/>
      <c r="D10" s="144"/>
      <c r="E10" s="4"/>
      <c r="F10" s="4"/>
      <c r="G10" s="4"/>
      <c r="H10" s="4"/>
      <c r="I10" s="4"/>
      <c r="J10" s="4"/>
      <c r="K10" s="4"/>
      <c r="L10" s="4"/>
      <c r="M10" s="121"/>
      <c r="N10" s="4"/>
      <c r="O10" s="91"/>
      <c r="P10" s="35"/>
      <c r="Q10" s="35"/>
      <c r="R10" s="113"/>
    </row>
    <row r="11" spans="1:31" s="5" customFormat="1" ht="15" x14ac:dyDescent="0.2">
      <c r="A11" s="102" t="s">
        <v>64</v>
      </c>
      <c r="B11" s="103"/>
      <c r="C11" s="104"/>
      <c r="D11" s="105"/>
      <c r="E11" s="106"/>
      <c r="F11" s="105"/>
      <c r="G11" s="105"/>
      <c r="H11" s="105"/>
      <c r="I11" s="105"/>
      <c r="J11" s="128"/>
      <c r="K11" s="128"/>
      <c r="L11" s="132"/>
      <c r="M11" s="133"/>
      <c r="N11" s="126"/>
      <c r="O11" s="107"/>
      <c r="P11" s="66"/>
      <c r="Q11" s="66"/>
      <c r="R11" s="67"/>
    </row>
    <row r="12" spans="1:31" s="5" customFormat="1" ht="6" customHeight="1" x14ac:dyDescent="0.2">
      <c r="A12" s="110"/>
      <c r="B12" s="111"/>
      <c r="C12" s="112"/>
      <c r="D12" s="112"/>
      <c r="E12" s="112"/>
      <c r="F12" s="112"/>
      <c r="G12" s="112"/>
      <c r="H12" s="112"/>
      <c r="I12" s="112"/>
      <c r="J12" s="129"/>
      <c r="K12" s="129"/>
      <c r="L12" s="134"/>
      <c r="M12" s="135"/>
      <c r="N12" s="127"/>
      <c r="O12" s="170"/>
      <c r="P12" s="171"/>
      <c r="Q12" s="171"/>
      <c r="R12" s="172"/>
    </row>
    <row r="13" spans="1:31" s="115" customFormat="1" ht="14.25" customHeight="1" x14ac:dyDescent="0.2">
      <c r="A13" s="178" t="s">
        <v>65</v>
      </c>
      <c r="B13" s="179"/>
      <c r="C13" s="180" t="s">
        <v>19</v>
      </c>
      <c r="D13" s="181" t="s">
        <v>25</v>
      </c>
      <c r="E13" s="180">
        <v>2010</v>
      </c>
      <c r="F13" s="182">
        <v>12000</v>
      </c>
      <c r="G13" s="182">
        <v>35000</v>
      </c>
      <c r="H13" s="180" t="s">
        <v>13</v>
      </c>
      <c r="I13" s="180" t="s">
        <v>23</v>
      </c>
      <c r="J13" s="183">
        <v>40969</v>
      </c>
      <c r="K13" s="183">
        <v>42036</v>
      </c>
      <c r="L13" s="184">
        <v>510000</v>
      </c>
      <c r="M13" s="185">
        <v>573000</v>
      </c>
      <c r="N13" s="49"/>
      <c r="O13" s="186">
        <f>IFERROR(VLOOKUP($A13,'[1]2014'!$B$4:$R$54,14,0),0)</f>
        <v>0</v>
      </c>
      <c r="P13" s="187">
        <f>IFERROR(VLOOKUP($A13,'[1]2014'!$B$4:$R$54,15,0),0)</f>
        <v>21</v>
      </c>
      <c r="Q13" s="188">
        <f>IFERROR(VLOOKUP($A13,'[1]2014'!$B$4:$R$54,16,0),0)</f>
        <v>0</v>
      </c>
      <c r="R13" s="189">
        <f>IFERROR(VLOOKUP($A13,'[1]2014'!$B$4:$R$54,17,0),0)</f>
        <v>0</v>
      </c>
      <c r="AB13" s="154"/>
      <c r="AC13" s="154"/>
      <c r="AD13" s="154"/>
      <c r="AE13" s="154">
        <f t="shared" ref="AE13:AE21" si="0">R13-Z13</f>
        <v>0</v>
      </c>
    </row>
    <row r="14" spans="1:31" s="114" customFormat="1" x14ac:dyDescent="0.2">
      <c r="A14" s="208" t="s">
        <v>66</v>
      </c>
      <c r="B14" s="123" t="s">
        <v>44</v>
      </c>
      <c r="C14" s="45" t="s">
        <v>19</v>
      </c>
      <c r="D14" s="81" t="s">
        <v>25</v>
      </c>
      <c r="E14" s="45">
        <v>1999</v>
      </c>
      <c r="F14" s="46">
        <v>10000</v>
      </c>
      <c r="G14" s="46">
        <v>30000</v>
      </c>
      <c r="H14" s="149" t="s">
        <v>12</v>
      </c>
      <c r="I14" s="149" t="s">
        <v>83</v>
      </c>
      <c r="J14" s="148">
        <v>41730</v>
      </c>
      <c r="K14" s="148">
        <v>42094</v>
      </c>
      <c r="L14" s="150">
        <v>599000</v>
      </c>
      <c r="M14" s="50">
        <v>570000</v>
      </c>
      <c r="N14" s="49"/>
      <c r="O14" s="91">
        <f>IFERROR(VLOOKUP($A14,'[1]2014'!$B$4:$R$54,14,0),0)</f>
        <v>90</v>
      </c>
      <c r="P14" s="35">
        <f>IFERROR(VLOOKUP($A14,'[1]2014'!$B$4:$R$54,15,0),0)</f>
        <v>3</v>
      </c>
      <c r="Q14" s="33">
        <f>IFERROR(VLOOKUP($A14,'[1]2014'!$B$4:$R$54,16,0),0)</f>
        <v>0</v>
      </c>
      <c r="R14" s="145">
        <f>IFERROR(VLOOKUP($A14,'[1]2014'!$B$4:$R$54,17,0),0)</f>
        <v>0</v>
      </c>
      <c r="S14" s="157"/>
      <c r="T14" s="157"/>
      <c r="U14" s="157"/>
      <c r="AB14" s="156"/>
      <c r="AC14" s="156"/>
      <c r="AD14" s="156"/>
      <c r="AE14" s="156">
        <f t="shared" si="0"/>
        <v>0</v>
      </c>
    </row>
    <row r="15" spans="1:31" s="114" customFormat="1" x14ac:dyDescent="0.2">
      <c r="A15" s="208"/>
      <c r="B15" s="123" t="s">
        <v>44</v>
      </c>
      <c r="C15" s="45"/>
      <c r="D15" s="81"/>
      <c r="E15" s="45"/>
      <c r="F15" s="46"/>
      <c r="G15" s="46"/>
      <c r="H15" s="149" t="s">
        <v>12</v>
      </c>
      <c r="I15" s="149" t="s">
        <v>83</v>
      </c>
      <c r="J15" s="148">
        <v>42078</v>
      </c>
      <c r="K15" s="148">
        <v>42450</v>
      </c>
      <c r="L15" s="150">
        <v>610000</v>
      </c>
      <c r="M15" s="151">
        <f>L14</f>
        <v>599000</v>
      </c>
      <c r="N15" s="49"/>
      <c r="O15" s="137"/>
      <c r="P15" s="33"/>
      <c r="Q15" s="33"/>
      <c r="R15" s="145"/>
      <c r="AB15" s="156"/>
      <c r="AC15" s="156"/>
      <c r="AD15" s="156"/>
      <c r="AE15" s="156"/>
    </row>
    <row r="16" spans="1:31" s="115" customFormat="1" ht="14.25" customHeight="1" x14ac:dyDescent="0.2">
      <c r="A16" s="178" t="s">
        <v>67</v>
      </c>
      <c r="B16" s="179">
        <v>-6</v>
      </c>
      <c r="C16" s="180" t="s">
        <v>20</v>
      </c>
      <c r="D16" s="191" t="s">
        <v>25</v>
      </c>
      <c r="E16" s="180">
        <v>2005</v>
      </c>
      <c r="F16" s="182">
        <v>7500</v>
      </c>
      <c r="G16" s="182">
        <v>37500</v>
      </c>
      <c r="H16" s="180" t="s">
        <v>10</v>
      </c>
      <c r="I16" s="180"/>
      <c r="J16" s="192" t="s">
        <v>85</v>
      </c>
      <c r="K16" s="211"/>
      <c r="L16" s="184"/>
      <c r="M16" s="185"/>
      <c r="N16" s="49"/>
      <c r="O16" s="207">
        <f>IFERROR(VLOOKUP($A16,'[1]2014'!$B$4:$R$54,14,0),0)</f>
        <v>0</v>
      </c>
      <c r="P16" s="188">
        <f>IFERROR(VLOOKUP($A16,'[1]2014'!$B$4:$R$54,15,0),0)</f>
        <v>0</v>
      </c>
      <c r="Q16" s="188">
        <f>IFERROR(VLOOKUP($A16,'[1]2014'!$B$4:$R$54,16,0),0)</f>
        <v>0</v>
      </c>
      <c r="R16" s="189">
        <f>IFERROR(VLOOKUP($A16,'[1]2014'!$B$4:$R$54,17,0),0)</f>
        <v>0</v>
      </c>
      <c r="AB16" s="154"/>
      <c r="AC16" s="154"/>
      <c r="AD16" s="154"/>
      <c r="AE16" s="154">
        <f t="shared" si="0"/>
        <v>0</v>
      </c>
    </row>
    <row r="17" spans="1:31" s="34" customFormat="1" ht="14.25" customHeight="1" x14ac:dyDescent="0.2">
      <c r="A17" s="209" t="s">
        <v>68</v>
      </c>
      <c r="B17" s="142">
        <v>-6</v>
      </c>
      <c r="C17" s="93" t="s">
        <v>20</v>
      </c>
      <c r="D17" s="152" t="s">
        <v>25</v>
      </c>
      <c r="E17" s="93">
        <v>2005</v>
      </c>
      <c r="F17" s="94">
        <v>7500</v>
      </c>
      <c r="G17" s="94">
        <v>37500</v>
      </c>
      <c r="H17" s="93" t="s">
        <v>10</v>
      </c>
      <c r="I17" s="93" t="s">
        <v>16</v>
      </c>
      <c r="J17" s="141">
        <v>39753</v>
      </c>
      <c r="K17" s="210">
        <v>41757</v>
      </c>
      <c r="L17" s="79">
        <v>603000</v>
      </c>
      <c r="M17" s="143">
        <v>208000</v>
      </c>
      <c r="N17" s="49"/>
      <c r="O17" s="138">
        <f>IFERROR(VLOOKUP($A17,'[1]2014'!$B$4:$R$54,14,0),0)</f>
        <v>0</v>
      </c>
      <c r="P17" s="48">
        <f>IFERROR(VLOOKUP($A17,'[1]2014'!$B$4:$R$54,15,0),0)</f>
        <v>20</v>
      </c>
      <c r="Q17" s="48">
        <f>IFERROR(VLOOKUP($A17,'[1]2014'!$B$4:$R$54,16,0),0)</f>
        <v>0</v>
      </c>
      <c r="R17" s="83">
        <f>IFERROR(VLOOKUP($A17,'[1]2014'!$B$4:$R$54,17,0),0)</f>
        <v>0</v>
      </c>
      <c r="AB17" s="109"/>
      <c r="AC17" s="109"/>
      <c r="AD17" s="109"/>
      <c r="AE17" s="109">
        <f t="shared" si="0"/>
        <v>0</v>
      </c>
    </row>
    <row r="18" spans="1:31" ht="6" customHeight="1" x14ac:dyDescent="0.2">
      <c r="A18" s="99"/>
      <c r="B18" s="49"/>
      <c r="C18" s="84"/>
      <c r="D18" s="84"/>
      <c r="E18" s="85"/>
      <c r="F18" s="86"/>
      <c r="G18" s="86"/>
      <c r="H18" s="87"/>
      <c r="I18" s="82"/>
      <c r="J18" s="82"/>
      <c r="K18" s="82"/>
      <c r="L18" s="88"/>
      <c r="M18" s="136"/>
      <c r="N18" s="88"/>
      <c r="O18" s="47"/>
      <c r="P18" s="47"/>
      <c r="Q18" s="47"/>
      <c r="R18" s="47"/>
      <c r="AB18" s="155"/>
      <c r="AC18" s="155"/>
      <c r="AD18" s="155"/>
      <c r="AE18" s="155"/>
    </row>
    <row r="19" spans="1:31" ht="15" x14ac:dyDescent="0.2">
      <c r="A19" s="102" t="s">
        <v>80</v>
      </c>
      <c r="B19" s="108"/>
      <c r="C19" s="104"/>
      <c r="D19" s="105"/>
      <c r="E19" s="106"/>
      <c r="F19" s="105"/>
      <c r="G19" s="105"/>
      <c r="H19" s="105"/>
      <c r="I19" s="105"/>
      <c r="J19" s="128"/>
      <c r="K19" s="128"/>
      <c r="L19" s="132"/>
      <c r="M19" s="133"/>
      <c r="N19" s="126"/>
      <c r="O19" s="153"/>
      <c r="P19" s="66"/>
      <c r="Q19" s="66"/>
      <c r="R19" s="67"/>
      <c r="AB19" s="155"/>
      <c r="AC19" s="155"/>
      <c r="AD19" s="155"/>
      <c r="AE19" s="155"/>
    </row>
    <row r="20" spans="1:31" s="34" customFormat="1" ht="6" customHeight="1" x14ac:dyDescent="0.2">
      <c r="A20" s="158"/>
      <c r="B20" s="159"/>
      <c r="C20" s="160"/>
      <c r="D20" s="160"/>
      <c r="E20" s="161"/>
      <c r="F20" s="162"/>
      <c r="G20" s="162"/>
      <c r="H20" s="163"/>
      <c r="I20" s="164"/>
      <c r="J20" s="164"/>
      <c r="K20" s="164"/>
      <c r="L20" s="165"/>
      <c r="M20" s="166"/>
      <c r="N20" s="88"/>
      <c r="O20" s="167">
        <f>IFERROR(VLOOKUP($A20,'[1]2014'!$B$4:$R$54,14,0),0)</f>
        <v>0</v>
      </c>
      <c r="P20" s="168">
        <f>IFERROR(VLOOKUP($A20,'[1]2014'!$B$4:$R$54,15,0),0)</f>
        <v>0</v>
      </c>
      <c r="Q20" s="168">
        <f>IFERROR(VLOOKUP($A20,'[1]2014'!$B$4:$R$54,16,0),0)</f>
        <v>0</v>
      </c>
      <c r="R20" s="169">
        <f>IFERROR(VLOOKUP($A20,'[1]2014'!$B$4:$R$54,17,0),0)</f>
        <v>0</v>
      </c>
      <c r="AB20" s="109"/>
      <c r="AC20" s="109"/>
      <c r="AD20" s="109"/>
      <c r="AE20" s="109"/>
    </row>
    <row r="21" spans="1:31" s="115" customFormat="1" ht="14.25" customHeight="1" x14ac:dyDescent="0.2">
      <c r="A21" s="197" t="s">
        <v>69</v>
      </c>
      <c r="B21" s="232">
        <v>-7</v>
      </c>
      <c r="C21" s="198" t="s">
        <v>20</v>
      </c>
      <c r="D21" s="198"/>
      <c r="E21" s="198" t="s">
        <v>17</v>
      </c>
      <c r="F21" s="199">
        <v>5000</v>
      </c>
      <c r="G21" s="199">
        <v>25000</v>
      </c>
      <c r="H21" s="199" t="s">
        <v>13</v>
      </c>
      <c r="I21" s="198" t="s">
        <v>14</v>
      </c>
      <c r="J21" s="200">
        <v>40787</v>
      </c>
      <c r="K21" s="175">
        <v>41730</v>
      </c>
      <c r="L21" s="201">
        <v>186000</v>
      </c>
      <c r="M21" s="202" t="s">
        <v>15</v>
      </c>
      <c r="N21" s="49"/>
      <c r="O21" s="196">
        <f>IFERROR(VLOOKUP($A21,'[1]2014'!$B$4:$R$54,14,0),0)</f>
        <v>0</v>
      </c>
      <c r="P21" s="231">
        <f>IFERROR(VLOOKUP($A21,'[1]2014'!$B$4:$R$54,15,0),0)</f>
        <v>45</v>
      </c>
      <c r="Q21" s="176">
        <f>IFERROR(VLOOKUP($A21,'[1]2014'!$B$4:$R$54,16,0),0)</f>
        <v>0</v>
      </c>
      <c r="R21" s="177">
        <f>IFERROR(VLOOKUP($A21,'[1]2014'!$B$4:$R$54,17,0),0)</f>
        <v>0</v>
      </c>
      <c r="AB21" s="154"/>
      <c r="AC21" s="154"/>
      <c r="AD21" s="154"/>
      <c r="AE21" s="154">
        <f t="shared" si="0"/>
        <v>0</v>
      </c>
    </row>
    <row r="22" spans="1:31" s="34" customFormat="1" ht="6" customHeight="1" x14ac:dyDescent="0.2">
      <c r="A22" s="99"/>
      <c r="B22" s="49"/>
      <c r="C22" s="95"/>
      <c r="D22" s="84"/>
      <c r="E22" s="85"/>
      <c r="F22" s="86"/>
      <c r="G22" s="86"/>
      <c r="H22" s="87"/>
      <c r="I22" s="82"/>
      <c r="J22" s="130"/>
      <c r="K22" s="82"/>
      <c r="L22" s="88"/>
      <c r="M22" s="136"/>
      <c r="N22" s="88"/>
      <c r="O22" s="47">
        <f>IFERROR(VLOOKUP($A22,'[1]2014'!$B$4:$R$54,14,0),0)</f>
        <v>0</v>
      </c>
      <c r="P22" s="47">
        <f>IFERROR(VLOOKUP($A22,'[1]2014'!$B$4:$R$54,15,0),0)</f>
        <v>0</v>
      </c>
      <c r="Q22" s="47">
        <f>IFERROR(VLOOKUP($A22,'[1]2014'!$B$4:$R$54,16,0),0)</f>
        <v>0</v>
      </c>
      <c r="R22" s="47">
        <f>IFERROR(VLOOKUP($A22,'[1]2014'!$B$4:$R$54,17,0),0)</f>
        <v>0</v>
      </c>
      <c r="AB22" s="109"/>
      <c r="AC22" s="109"/>
      <c r="AD22" s="109"/>
      <c r="AE22" s="109"/>
    </row>
    <row r="23" spans="1:31" s="34" customFormat="1" ht="14.25" customHeight="1" x14ac:dyDescent="0.2">
      <c r="A23" s="102" t="s">
        <v>33</v>
      </c>
      <c r="B23" s="108"/>
      <c r="C23" s="104"/>
      <c r="D23" s="105"/>
      <c r="E23" s="106"/>
      <c r="F23" s="105"/>
      <c r="G23" s="105"/>
      <c r="H23" s="105"/>
      <c r="I23" s="105"/>
      <c r="J23" s="128"/>
      <c r="K23" s="128"/>
      <c r="L23" s="132"/>
      <c r="M23" s="133"/>
      <c r="N23" s="126"/>
      <c r="O23" s="153"/>
      <c r="P23" s="66"/>
      <c r="Q23" s="66"/>
      <c r="R23" s="67"/>
      <c r="AB23" s="109"/>
      <c r="AC23" s="109"/>
      <c r="AD23" s="109"/>
      <c r="AE23" s="109"/>
    </row>
    <row r="24" spans="1:31" s="34" customFormat="1" ht="6" customHeight="1" x14ac:dyDescent="0.2">
      <c r="A24" s="89"/>
      <c r="B24" s="100"/>
      <c r="C24" s="84"/>
      <c r="D24" s="84"/>
      <c r="E24" s="85"/>
      <c r="F24" s="86"/>
      <c r="G24" s="86"/>
      <c r="H24" s="87"/>
      <c r="I24" s="82"/>
      <c r="J24" s="82"/>
      <c r="K24" s="82"/>
      <c r="L24" s="88"/>
      <c r="M24" s="122"/>
      <c r="N24" s="88"/>
      <c r="O24" s="167">
        <f>IFERROR(VLOOKUP($A24,'[1]2014'!$B$4:$R$54,14,0),0)</f>
        <v>0</v>
      </c>
      <c r="P24" s="168">
        <f>IFERROR(VLOOKUP($A24,'[1]2014'!$B$4:$R$54,15,0),0)</f>
        <v>0</v>
      </c>
      <c r="Q24" s="168">
        <f>IFERROR(VLOOKUP($A24,'[1]2014'!$B$4:$R$54,16,0),0)</f>
        <v>0</v>
      </c>
      <c r="R24" s="169">
        <f>IFERROR(VLOOKUP($A24,'[1]2014'!$B$4:$R$54,17,0),0)</f>
        <v>0</v>
      </c>
      <c r="AB24" s="109"/>
      <c r="AC24" s="109"/>
      <c r="AD24" s="109"/>
      <c r="AE24" s="109"/>
    </row>
    <row r="25" spans="1:31" s="34" customFormat="1" ht="14.25" customHeight="1" x14ac:dyDescent="0.2">
      <c r="A25" s="173" t="s">
        <v>70</v>
      </c>
      <c r="B25" s="146" t="s">
        <v>79</v>
      </c>
      <c r="C25" s="45" t="s">
        <v>20</v>
      </c>
      <c r="D25" s="45"/>
      <c r="E25" s="45">
        <v>1984</v>
      </c>
      <c r="F25" s="46">
        <v>1500</v>
      </c>
      <c r="G25" s="46">
        <v>25000</v>
      </c>
      <c r="H25" s="45" t="s">
        <v>30</v>
      </c>
      <c r="I25" s="45" t="s">
        <v>3</v>
      </c>
      <c r="J25" s="82">
        <v>41275</v>
      </c>
      <c r="K25" s="82">
        <v>42248</v>
      </c>
      <c r="L25" s="49">
        <v>408000</v>
      </c>
      <c r="M25" s="50">
        <v>297000</v>
      </c>
      <c r="N25" s="49"/>
      <c r="O25" s="91">
        <f>IFERROR(VLOOKUP($A25,'[1]2014'!$B$4:$R$54,14,0),0)</f>
        <v>35.791666666666664</v>
      </c>
      <c r="P25" s="35">
        <f>IFERROR(VLOOKUP($A25,'[1]2014'!$B$4:$R$54,15,0),0)</f>
        <v>20</v>
      </c>
      <c r="Q25" s="33">
        <f>IFERROR(VLOOKUP($A25,'[1]2014'!$B$4:$R$54,16,0),0)</f>
        <v>0</v>
      </c>
      <c r="R25" s="145">
        <f>IFERROR(VLOOKUP($A25,'[1]2014'!$B$4:$R$54,17,0),0)</f>
        <v>0</v>
      </c>
      <c r="AB25" s="109"/>
      <c r="AC25" s="109"/>
      <c r="AD25" s="109"/>
      <c r="AE25" s="109">
        <f t="shared" ref="AE25:AE26" si="1">R25-Z25</f>
        <v>0</v>
      </c>
    </row>
    <row r="26" spans="1:31" s="115" customFormat="1" ht="14.25" customHeight="1" x14ac:dyDescent="0.2">
      <c r="A26" s="203" t="s">
        <v>71</v>
      </c>
      <c r="B26" s="190">
        <v>-7</v>
      </c>
      <c r="C26" s="180" t="s">
        <v>20</v>
      </c>
      <c r="D26" s="180"/>
      <c r="E26" s="180" t="s">
        <v>8</v>
      </c>
      <c r="F26" s="182">
        <v>1500</v>
      </c>
      <c r="G26" s="182">
        <v>25000</v>
      </c>
      <c r="H26" s="180" t="s">
        <v>11</v>
      </c>
      <c r="I26" s="180" t="s">
        <v>24</v>
      </c>
      <c r="J26" s="183">
        <v>41487</v>
      </c>
      <c r="K26" s="204">
        <v>41774</v>
      </c>
      <c r="L26" s="193">
        <v>425000</v>
      </c>
      <c r="M26" s="185">
        <v>252000</v>
      </c>
      <c r="N26" s="49"/>
      <c r="O26" s="207">
        <f>IFERROR(VLOOKUP($A26,'[1]2014'!$B$4:$R$54,14,0),0)</f>
        <v>0</v>
      </c>
      <c r="P26" s="188">
        <f>IFERROR(VLOOKUP($A26,'[1]2014'!$B$4:$R$54,15,0),0)</f>
        <v>0</v>
      </c>
      <c r="Q26" s="188">
        <f>IFERROR(VLOOKUP($A26,'[1]2014'!$B$4:$R$54,16,0),0)</f>
        <v>0</v>
      </c>
      <c r="R26" s="189">
        <f>IFERROR(VLOOKUP($A26,'[1]2014'!$B$4:$R$54,17,0),0)</f>
        <v>0</v>
      </c>
      <c r="AB26" s="154"/>
      <c r="AC26" s="154"/>
      <c r="AD26" s="154"/>
      <c r="AE26" s="154">
        <f t="shared" si="1"/>
        <v>0</v>
      </c>
    </row>
    <row r="27" spans="1:31" s="115" customFormat="1" ht="14.25" customHeight="1" x14ac:dyDescent="0.2">
      <c r="A27" s="205"/>
      <c r="B27" s="190">
        <v>-7</v>
      </c>
      <c r="C27" s="180"/>
      <c r="D27" s="180"/>
      <c r="E27" s="180"/>
      <c r="F27" s="182"/>
      <c r="G27" s="182"/>
      <c r="H27" s="180" t="s">
        <v>11</v>
      </c>
      <c r="I27" s="180" t="s">
        <v>52</v>
      </c>
      <c r="J27" s="204">
        <f>K26</f>
        <v>41774</v>
      </c>
      <c r="K27" s="204">
        <v>41913</v>
      </c>
      <c r="L27" s="193">
        <v>405000</v>
      </c>
      <c r="M27" s="215">
        <f>L26</f>
        <v>425000</v>
      </c>
      <c r="N27" s="49"/>
      <c r="O27" s="207"/>
      <c r="P27" s="188"/>
      <c r="Q27" s="188"/>
      <c r="R27" s="189"/>
      <c r="AB27" s="154"/>
      <c r="AC27" s="154"/>
      <c r="AD27" s="154"/>
      <c r="AE27" s="154"/>
    </row>
    <row r="28" spans="1:31" s="115" customFormat="1" ht="14.25" customHeight="1" x14ac:dyDescent="0.2">
      <c r="A28" s="205"/>
      <c r="B28" s="190">
        <v>-7</v>
      </c>
      <c r="C28" s="180"/>
      <c r="D28" s="180"/>
      <c r="E28" s="180"/>
      <c r="F28" s="182"/>
      <c r="G28" s="182"/>
      <c r="H28" s="180" t="s">
        <v>11</v>
      </c>
      <c r="I28" s="180" t="s">
        <v>52</v>
      </c>
      <c r="J28" s="204">
        <f>+K27</f>
        <v>41913</v>
      </c>
      <c r="K28" s="204">
        <v>42005</v>
      </c>
      <c r="L28" s="193">
        <v>412000</v>
      </c>
      <c r="M28" s="215">
        <f>+L27</f>
        <v>405000</v>
      </c>
      <c r="N28" s="49"/>
      <c r="O28" s="207"/>
      <c r="P28" s="188"/>
      <c r="Q28" s="188"/>
      <c r="R28" s="189"/>
      <c r="AB28" s="154"/>
      <c r="AC28" s="154"/>
      <c r="AD28" s="154"/>
      <c r="AE28" s="154"/>
    </row>
    <row r="29" spans="1:31" s="115" customFormat="1" ht="14.25" customHeight="1" x14ac:dyDescent="0.2">
      <c r="A29" s="206"/>
      <c r="B29" s="202">
        <v>-7</v>
      </c>
      <c r="C29" s="174"/>
      <c r="D29" s="174"/>
      <c r="E29" s="174"/>
      <c r="F29" s="194"/>
      <c r="G29" s="194"/>
      <c r="H29" s="174" t="s">
        <v>11</v>
      </c>
      <c r="I29" s="174" t="s">
        <v>52</v>
      </c>
      <c r="J29" s="175">
        <f>K28</f>
        <v>42005</v>
      </c>
      <c r="K29" s="175">
        <v>42125</v>
      </c>
      <c r="L29" s="195">
        <v>375000</v>
      </c>
      <c r="M29" s="216">
        <f>+L28</f>
        <v>412000</v>
      </c>
      <c r="N29" s="49"/>
      <c r="O29" s="196"/>
      <c r="P29" s="176"/>
      <c r="Q29" s="176"/>
      <c r="R29" s="177"/>
      <c r="AB29" s="154"/>
      <c r="AC29" s="154"/>
      <c r="AD29" s="154"/>
      <c r="AE29" s="154"/>
    </row>
    <row r="30" spans="1:31" s="34" customFormat="1" ht="6" customHeight="1" x14ac:dyDescent="0.2">
      <c r="B30" s="92"/>
      <c r="J30" s="144"/>
      <c r="K30" s="144"/>
      <c r="L30" s="117"/>
      <c r="M30" s="131"/>
      <c r="O30" s="47">
        <f>IFERROR(VLOOKUP($A30,'[1]2014'!$B$4:$R$54,14,0),0)</f>
        <v>0</v>
      </c>
      <c r="P30" s="47">
        <f>IFERROR(VLOOKUP($A30,'[1]2014'!$B$4:$R$54,15,0),0)</f>
        <v>0</v>
      </c>
      <c r="Q30" s="47">
        <f>IFERROR(VLOOKUP($A30,'[1]2014'!$B$4:$R$54,16,0),0)</f>
        <v>0</v>
      </c>
      <c r="R30" s="47">
        <f>IFERROR(VLOOKUP($A30,'[1]2014'!$B$4:$R$54,17,0),0)</f>
        <v>0</v>
      </c>
      <c r="AB30" s="109"/>
      <c r="AC30" s="109"/>
      <c r="AD30" s="109"/>
      <c r="AE30" s="109"/>
    </row>
    <row r="31" spans="1:31" s="34" customFormat="1" ht="15" x14ac:dyDescent="0.2">
      <c r="A31" s="102" t="s">
        <v>90</v>
      </c>
      <c r="B31" s="108"/>
      <c r="C31" s="104"/>
      <c r="D31" s="105"/>
      <c r="E31" s="106"/>
      <c r="F31" s="105"/>
      <c r="G31" s="105"/>
      <c r="H31" s="105"/>
      <c r="I31" s="105"/>
      <c r="J31" s="128"/>
      <c r="K31" s="128"/>
      <c r="L31" s="132"/>
      <c r="M31" s="133"/>
      <c r="N31" s="126"/>
      <c r="O31" s="225"/>
      <c r="P31" s="226"/>
      <c r="Q31" s="226"/>
      <c r="R31" s="227"/>
    </row>
    <row r="32" spans="1:31" s="34" customFormat="1" x14ac:dyDescent="0.2">
      <c r="A32" s="229" t="s">
        <v>91</v>
      </c>
      <c r="B32" s="159" t="s">
        <v>92</v>
      </c>
      <c r="C32" s="233"/>
      <c r="D32" s="233"/>
      <c r="E32" s="233">
        <v>1999</v>
      </c>
      <c r="F32" s="234">
        <v>400</v>
      </c>
      <c r="G32" s="234">
        <v>30000</v>
      </c>
      <c r="H32" s="233" t="s">
        <v>11</v>
      </c>
      <c r="I32" s="233" t="s">
        <v>24</v>
      </c>
      <c r="J32" s="235">
        <v>41456</v>
      </c>
      <c r="K32" s="235">
        <v>41760</v>
      </c>
      <c r="L32" s="236">
        <v>226000</v>
      </c>
      <c r="M32" s="230">
        <v>146000</v>
      </c>
      <c r="N32" s="49"/>
      <c r="O32" s="228">
        <v>0</v>
      </c>
      <c r="P32" s="35">
        <v>0</v>
      </c>
      <c r="Q32" s="33">
        <v>50</v>
      </c>
      <c r="R32" s="145">
        <v>39</v>
      </c>
    </row>
    <row r="33" spans="1:18" x14ac:dyDescent="0.2">
      <c r="A33" s="237"/>
      <c r="B33" s="238" t="s">
        <v>44</v>
      </c>
      <c r="C33" s="239"/>
      <c r="D33" s="239"/>
      <c r="E33" s="239"/>
      <c r="F33" s="239"/>
      <c r="G33" s="239"/>
      <c r="H33" s="93" t="s">
        <v>11</v>
      </c>
      <c r="I33" s="240" t="s">
        <v>24</v>
      </c>
      <c r="J33" s="241">
        <v>41781</v>
      </c>
      <c r="K33" s="241">
        <v>41851</v>
      </c>
      <c r="L33" s="242">
        <v>180000</v>
      </c>
      <c r="M33" s="243">
        <v>226000</v>
      </c>
      <c r="O33" s="237"/>
      <c r="P33" s="239"/>
      <c r="Q33" s="239"/>
      <c r="R33" s="244"/>
    </row>
  </sheetData>
  <autoFilter ref="A9:J9"/>
  <mergeCells count="4">
    <mergeCell ref="A3:M3"/>
    <mergeCell ref="A4:M4"/>
    <mergeCell ref="O6:R6"/>
    <mergeCell ref="O8:R8"/>
  </mergeCells>
  <printOptions horizontalCentered="1"/>
  <pageMargins left="0" right="0" top="0" bottom="0" header="0" footer="0"/>
  <pageSetup paperSize="3" scale="72" orientation="landscape" r:id="rId1"/>
  <headerFooter alignWithMargins="0"/>
  <rowBreaks count="2" manualBreakCount="2">
    <brk id="33" max="17" man="1"/>
    <brk id="43" max="17" man="1"/>
  </rowBreaks>
  <ignoredErrors>
    <ignoredError sqref="B33 B14:B15"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6"/>
  <sheetViews>
    <sheetView showGridLines="0" view="pageBreakPreview" topLeftCell="B1" zoomScaleNormal="100" zoomScaleSheetLayoutView="100" workbookViewId="0">
      <selection activeCell="D1" sqref="D1"/>
    </sheetView>
  </sheetViews>
  <sheetFormatPr defaultRowHeight="14.25" x14ac:dyDescent="0.2"/>
  <cols>
    <col min="1" max="1" width="5.140625" hidden="1" customWidth="1"/>
    <col min="2" max="2" width="5.140625" style="29"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8"/>
      <c r="C1" s="7"/>
      <c r="E1" s="8"/>
      <c r="F1" s="9"/>
      <c r="G1" s="9"/>
      <c r="K1" s="38"/>
      <c r="M1" s="7"/>
      <c r="O1" s="25"/>
    </row>
    <row r="2" spans="1:15" s="6" customFormat="1" ht="13.5" customHeight="1" x14ac:dyDescent="0.2">
      <c r="B2" s="31" t="str">
        <f>+Report!A2</f>
        <v>Updated: March 17, 2014</v>
      </c>
      <c r="C2" s="31"/>
      <c r="D2" s="10"/>
      <c r="M2" s="7"/>
      <c r="O2" s="25"/>
    </row>
    <row r="3" spans="1:15" s="6" customFormat="1" ht="16.5" customHeight="1" x14ac:dyDescent="0.2">
      <c r="B3" s="32"/>
      <c r="C3" s="32"/>
      <c r="D3" s="32"/>
      <c r="E3" s="32"/>
      <c r="F3" s="32"/>
      <c r="G3" s="32"/>
      <c r="H3" s="32"/>
      <c r="I3" s="32"/>
      <c r="J3" s="32"/>
      <c r="K3" s="32"/>
      <c r="L3" s="32"/>
      <c r="M3" s="32"/>
      <c r="N3" s="32"/>
      <c r="O3" s="25"/>
    </row>
    <row r="5" spans="1:15" ht="14.45" customHeight="1" x14ac:dyDescent="0.2">
      <c r="B5" s="257" t="s">
        <v>31</v>
      </c>
      <c r="C5" s="257"/>
      <c r="D5" s="14"/>
      <c r="E5" s="15"/>
      <c r="F5" s="16"/>
      <c r="G5" s="12"/>
      <c r="H5" s="12"/>
      <c r="I5" s="13"/>
      <c r="J5" s="17"/>
      <c r="K5" s="18"/>
      <c r="L5" s="18"/>
      <c r="M5" s="19"/>
      <c r="N5" s="20"/>
    </row>
    <row r="6" spans="1:15" x14ac:dyDescent="0.2">
      <c r="A6" s="21" t="s">
        <v>77</v>
      </c>
      <c r="C6" s="2"/>
      <c r="D6" s="1"/>
      <c r="E6" s="2"/>
      <c r="F6" s="1"/>
      <c r="G6" s="3"/>
      <c r="H6" s="3"/>
      <c r="I6" s="2"/>
      <c r="J6" s="2"/>
      <c r="K6" s="2"/>
      <c r="L6" s="2"/>
      <c r="M6" s="11"/>
      <c r="N6" s="2"/>
    </row>
    <row r="7" spans="1:15" s="36" customFormat="1" x14ac:dyDescent="0.2">
      <c r="A7" s="30" t="s">
        <v>38</v>
      </c>
      <c r="B7" s="101" t="s">
        <v>38</v>
      </c>
      <c r="C7" s="254" t="s">
        <v>37</v>
      </c>
      <c r="D7" s="256"/>
      <c r="E7" s="256"/>
      <c r="F7" s="256"/>
      <c r="G7" s="256"/>
      <c r="H7" s="256"/>
      <c r="I7" s="256"/>
      <c r="J7" s="256"/>
      <c r="K7" s="256"/>
      <c r="L7" s="256"/>
      <c r="M7" s="256"/>
      <c r="N7" s="256"/>
      <c r="O7" s="26"/>
    </row>
    <row r="8" spans="1:15" s="36" customFormat="1" ht="62.25" customHeight="1" x14ac:dyDescent="0.2">
      <c r="A8" s="30" t="s">
        <v>39</v>
      </c>
      <c r="B8" s="101" t="s">
        <v>39</v>
      </c>
      <c r="C8" s="254" t="s">
        <v>84</v>
      </c>
      <c r="D8" s="255"/>
      <c r="E8" s="255"/>
      <c r="F8" s="255"/>
      <c r="G8" s="255"/>
      <c r="H8" s="255"/>
      <c r="I8" s="255"/>
      <c r="J8" s="255"/>
      <c r="K8" s="255"/>
      <c r="L8" s="255"/>
      <c r="M8" s="255"/>
      <c r="N8" s="255"/>
      <c r="O8" s="26"/>
    </row>
    <row r="9" spans="1:15" s="36" customFormat="1" ht="51" customHeight="1" x14ac:dyDescent="0.2">
      <c r="A9" s="30" t="s">
        <v>40</v>
      </c>
      <c r="B9" s="101" t="s">
        <v>40</v>
      </c>
      <c r="C9" s="254" t="s">
        <v>49</v>
      </c>
      <c r="D9" s="256"/>
      <c r="E9" s="256"/>
      <c r="F9" s="256"/>
      <c r="G9" s="256"/>
      <c r="H9" s="256"/>
      <c r="I9" s="256"/>
      <c r="J9" s="256"/>
      <c r="K9" s="256"/>
      <c r="L9" s="256"/>
      <c r="M9" s="256"/>
      <c r="N9" s="256"/>
      <c r="O9" s="26"/>
    </row>
    <row r="10" spans="1:15" s="36" customFormat="1" ht="27" customHeight="1" x14ac:dyDescent="0.2">
      <c r="A10" s="30" t="s">
        <v>41</v>
      </c>
      <c r="B10" s="101" t="s">
        <v>41</v>
      </c>
      <c r="C10" s="254" t="s">
        <v>53</v>
      </c>
      <c r="D10" s="256"/>
      <c r="E10" s="256"/>
      <c r="F10" s="256"/>
      <c r="G10" s="256"/>
      <c r="H10" s="256"/>
      <c r="I10" s="256"/>
      <c r="J10" s="256"/>
      <c r="K10" s="256"/>
      <c r="L10" s="256"/>
      <c r="M10" s="256"/>
      <c r="N10" s="256"/>
      <c r="O10" s="26"/>
    </row>
    <row r="11" spans="1:15" s="36" customFormat="1" x14ac:dyDescent="0.2">
      <c r="A11" s="30" t="s">
        <v>42</v>
      </c>
      <c r="B11" s="101" t="s">
        <v>42</v>
      </c>
      <c r="C11" s="254" t="s">
        <v>50</v>
      </c>
      <c r="D11" s="256"/>
      <c r="E11" s="256"/>
      <c r="F11" s="256"/>
      <c r="G11" s="256"/>
      <c r="H11" s="256"/>
      <c r="I11" s="256"/>
      <c r="J11" s="256"/>
      <c r="K11" s="256"/>
      <c r="L11" s="256"/>
      <c r="M11" s="256"/>
      <c r="N11" s="256"/>
      <c r="O11" s="26"/>
    </row>
    <row r="12" spans="1:15" s="21" customFormat="1" ht="14.25" customHeight="1" x14ac:dyDescent="0.2">
      <c r="A12" s="30" t="s">
        <v>43</v>
      </c>
      <c r="B12" s="101" t="s">
        <v>43</v>
      </c>
      <c r="C12" s="254" t="s">
        <v>51</v>
      </c>
      <c r="D12" s="256"/>
      <c r="E12" s="256"/>
      <c r="F12" s="256"/>
      <c r="G12" s="256"/>
      <c r="H12" s="256"/>
      <c r="I12" s="256"/>
      <c r="J12" s="256"/>
      <c r="K12" s="256"/>
      <c r="L12" s="256"/>
      <c r="M12" s="256"/>
      <c r="N12" s="256"/>
      <c r="O12" s="26"/>
    </row>
    <row r="13" spans="1:15" s="36" customFormat="1" ht="14.25" customHeight="1" x14ac:dyDescent="0.2">
      <c r="A13" s="30" t="s">
        <v>44</v>
      </c>
      <c r="B13" s="101" t="s">
        <v>44</v>
      </c>
      <c r="C13" s="254" t="s">
        <v>1</v>
      </c>
      <c r="D13" s="256"/>
      <c r="E13" s="256"/>
      <c r="F13" s="256"/>
      <c r="G13" s="256"/>
      <c r="H13" s="256"/>
      <c r="I13" s="256"/>
      <c r="J13" s="256"/>
      <c r="K13" s="256"/>
      <c r="L13" s="256"/>
      <c r="M13" s="256"/>
      <c r="N13" s="256"/>
      <c r="O13" s="26"/>
    </row>
    <row r="14" spans="1:15" s="36" customFormat="1" ht="15" customHeight="1" x14ac:dyDescent="0.2">
      <c r="A14" s="30" t="s">
        <v>45</v>
      </c>
      <c r="B14" s="101" t="s">
        <v>45</v>
      </c>
      <c r="C14" s="254" t="s">
        <v>0</v>
      </c>
      <c r="D14" s="256"/>
      <c r="E14" s="256"/>
      <c r="F14" s="256"/>
      <c r="G14" s="256"/>
      <c r="H14" s="256"/>
      <c r="I14" s="256"/>
      <c r="J14" s="256"/>
      <c r="K14" s="256"/>
      <c r="L14" s="256"/>
      <c r="M14" s="256"/>
      <c r="N14" s="256"/>
      <c r="O14" s="26"/>
    </row>
    <row r="15" spans="1:15" s="36" customFormat="1" ht="40.5" customHeight="1" x14ac:dyDescent="0.2">
      <c r="A15" s="30" t="s">
        <v>46</v>
      </c>
      <c r="B15" s="101" t="s">
        <v>46</v>
      </c>
      <c r="C15" s="254" t="s">
        <v>81</v>
      </c>
      <c r="D15" s="255"/>
      <c r="E15" s="255"/>
      <c r="F15" s="255"/>
      <c r="G15" s="255"/>
      <c r="H15" s="255"/>
      <c r="I15" s="255"/>
      <c r="J15" s="255"/>
      <c r="K15" s="255"/>
      <c r="L15" s="255"/>
      <c r="M15" s="255"/>
      <c r="N15" s="255"/>
      <c r="O15" s="26"/>
    </row>
    <row r="16" spans="1:15" s="36" customFormat="1" ht="29.1" customHeight="1" x14ac:dyDescent="0.2">
      <c r="A16" s="30" t="s">
        <v>47</v>
      </c>
      <c r="B16" s="101" t="s">
        <v>47</v>
      </c>
      <c r="C16" s="254" t="s">
        <v>2</v>
      </c>
      <c r="D16" s="256"/>
      <c r="E16" s="256"/>
      <c r="F16" s="256"/>
      <c r="G16" s="256"/>
      <c r="H16" s="256"/>
      <c r="I16" s="256"/>
      <c r="J16" s="256"/>
      <c r="K16" s="256"/>
      <c r="L16" s="256"/>
      <c r="M16" s="256"/>
      <c r="N16" s="256"/>
      <c r="O16" s="26"/>
    </row>
    <row r="17" spans="1:19" s="21" customFormat="1" ht="29.25" customHeight="1" x14ac:dyDescent="0.2">
      <c r="A17" s="30" t="s">
        <v>48</v>
      </c>
      <c r="B17" s="101" t="s">
        <v>48</v>
      </c>
      <c r="C17" s="254" t="s">
        <v>78</v>
      </c>
      <c r="D17" s="255"/>
      <c r="E17" s="255"/>
      <c r="F17" s="255"/>
      <c r="G17" s="255"/>
      <c r="H17" s="255"/>
      <c r="I17" s="255"/>
      <c r="J17" s="255"/>
      <c r="K17" s="255"/>
      <c r="L17" s="255"/>
      <c r="M17" s="255"/>
      <c r="N17" s="255"/>
      <c r="O17" s="26"/>
    </row>
    <row r="18" spans="1:19" x14ac:dyDescent="0.2">
      <c r="S18" s="24"/>
    </row>
    <row r="19" spans="1:19" x14ac:dyDescent="0.2">
      <c r="S19" s="24"/>
    </row>
    <row r="20" spans="1:19" x14ac:dyDescent="0.2">
      <c r="S20" s="24"/>
    </row>
    <row r="21" spans="1:19" x14ac:dyDescent="0.2">
      <c r="S21" s="24"/>
    </row>
    <row r="22" spans="1:19" x14ac:dyDescent="0.2">
      <c r="S22" s="24"/>
    </row>
    <row r="23" spans="1:19" x14ac:dyDescent="0.2">
      <c r="S23" s="24"/>
    </row>
    <row r="24" spans="1:19" x14ac:dyDescent="0.2">
      <c r="S24" s="24"/>
    </row>
    <row r="25" spans="1:19" x14ac:dyDescent="0.2">
      <c r="S25" s="24"/>
    </row>
    <row r="26" spans="1:19" x14ac:dyDescent="0.2">
      <c r="S26" s="24"/>
    </row>
    <row r="27" spans="1:19" x14ac:dyDescent="0.2">
      <c r="S27" s="24"/>
    </row>
    <row r="28" spans="1:19" x14ac:dyDescent="0.2">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row r="66" spans="19:19" x14ac:dyDescent="0.2">
      <c r="S66"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2">
    <mergeCell ref="B5:C5"/>
    <mergeCell ref="C9:N9"/>
    <mergeCell ref="C7:N7"/>
    <mergeCell ref="C8:N8"/>
    <mergeCell ref="C10:N10"/>
    <mergeCell ref="C17:N17"/>
    <mergeCell ref="C16:N16"/>
    <mergeCell ref="C11:N11"/>
    <mergeCell ref="C12:N12"/>
    <mergeCell ref="C13:N13"/>
    <mergeCell ref="C14:N14"/>
    <mergeCell ref="C15:N15"/>
  </mergeCells>
  <phoneticPr fontId="14"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72" customWidth="1"/>
    <col min="2" max="3" width="2.28515625" style="72" customWidth="1"/>
    <col min="4" max="5" width="10.7109375" style="72" customWidth="1"/>
    <col min="6" max="6" width="8.7109375" style="72" customWidth="1"/>
    <col min="7" max="11" width="17.140625" style="72" customWidth="1"/>
    <col min="12" max="12" width="15.85546875" style="72" customWidth="1"/>
    <col min="13" max="16384" width="9.140625" style="72"/>
  </cols>
  <sheetData>
    <row r="1" spans="1:12" s="73" customFormat="1" ht="42.75" customHeight="1" x14ac:dyDescent="0.2">
      <c r="A1" s="72" t="s">
        <v>18</v>
      </c>
      <c r="B1" s="72"/>
      <c r="D1" s="74"/>
      <c r="E1" s="72"/>
      <c r="F1" s="72"/>
      <c r="G1" s="72"/>
      <c r="I1" s="75"/>
      <c r="J1" s="72"/>
      <c r="K1" s="72"/>
      <c r="L1" s="72"/>
    </row>
    <row r="2" spans="1:12" s="73" customFormat="1" ht="40.5" customHeight="1" x14ac:dyDescent="0.2">
      <c r="A2" s="72"/>
      <c r="B2" s="72"/>
      <c r="D2" s="74"/>
      <c r="E2" s="72"/>
      <c r="F2" s="72"/>
      <c r="G2" s="72"/>
      <c r="I2" s="75"/>
      <c r="J2" s="72"/>
      <c r="K2" s="72"/>
      <c r="L2" s="72"/>
    </row>
    <row r="3" spans="1:12" s="76" customFormat="1" ht="27.75" customHeight="1" x14ac:dyDescent="0.25">
      <c r="A3" s="258" t="s">
        <v>32</v>
      </c>
      <c r="B3" s="258"/>
      <c r="C3" s="258"/>
      <c r="D3" s="258"/>
      <c r="E3" s="258"/>
      <c r="F3" s="258"/>
      <c r="G3" s="258"/>
      <c r="H3" s="258"/>
      <c r="I3" s="258"/>
      <c r="J3" s="258"/>
      <c r="K3" s="258"/>
      <c r="L3" s="258"/>
    </row>
    <row r="4" spans="1:12" s="73" customFormat="1" x14ac:dyDescent="0.2">
      <c r="A4" s="72"/>
      <c r="B4" s="72"/>
      <c r="C4" s="77"/>
      <c r="D4" s="72"/>
      <c r="E4" s="72"/>
      <c r="F4" s="72"/>
      <c r="G4" s="72"/>
      <c r="H4" s="72"/>
      <c r="I4" s="72"/>
      <c r="J4" s="72"/>
      <c r="K4" s="72"/>
      <c r="L4" s="72"/>
    </row>
    <row r="5" spans="1:12" s="73" customFormat="1" x14ac:dyDescent="0.2">
      <c r="A5" s="78"/>
      <c r="B5" s="78"/>
      <c r="C5" s="78"/>
      <c r="D5" s="78"/>
      <c r="E5" s="78"/>
      <c r="F5" s="78"/>
      <c r="G5" s="78"/>
      <c r="H5" s="78"/>
      <c r="I5" s="78"/>
      <c r="J5" s="78"/>
      <c r="K5" s="78"/>
      <c r="L5" s="78"/>
    </row>
    <row r="6" spans="1:12" s="73" customFormat="1" x14ac:dyDescent="0.2">
      <c r="A6" s="72"/>
      <c r="B6" s="72"/>
      <c r="C6" s="72"/>
      <c r="D6" s="72"/>
      <c r="E6" s="72"/>
      <c r="F6" s="72"/>
      <c r="G6" s="72"/>
      <c r="H6" s="72"/>
      <c r="I6" s="72"/>
      <c r="J6" s="72"/>
      <c r="K6" s="72"/>
      <c r="L6" s="72"/>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Nordin, Sarah (Houston)</dc:creator>
  <cp:lastModifiedBy>Vento, Diane (Houston)</cp:lastModifiedBy>
  <cp:lastPrinted>2014-03-17T18:51:10Z</cp:lastPrinted>
  <dcterms:created xsi:type="dcterms:W3CDTF">1999-09-27T19:46:10Z</dcterms:created>
  <dcterms:modified xsi:type="dcterms:W3CDTF">2014-03-17T18:51:50Z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