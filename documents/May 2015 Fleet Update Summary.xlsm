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activeTab="1"/>
  </bookViews>
  <sheets>
    <sheet name="Cover" sheetId="8" r:id="rId1"/>
    <sheet name="Report" sheetId="11" r:id="rId2"/>
    <sheet name="Footnotes" sheetId="2" r:id="rId3"/>
    <sheet name="Disclaimers&amp;Definitions " sheetId="9" r:id="rId4"/>
    <sheet name="Sheet1" sheetId="12" r:id="rId5"/>
  </sheets>
  <externalReferences>
    <externalReference r:id="rId6"/>
  </externalReference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Footnotes!$B$1:$N$19</definedName>
    <definedName name="_xlnm.Print_Area" localSheetId="1">Report!$A$1:$W$51</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Footnotes!$C$1:$N$17</definedName>
    <definedName name="Z_2B5E9AF3_7E15_4FFC_BC57_F18A8661CB86_.wvu.PrintArea" localSheetId="1" hidden="1">Report!$A$1:$M$34</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Footnotes!$C$1:$N$17</definedName>
    <definedName name="Z_6B3EFEE6_6D4B_487B_9131_15FDA5ABAE22_.wvu.PrintArea" localSheetId="1" hidden="1">Report!$A$1:$M$34</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3" i="2" l="1"/>
  <c r="B2" i="2"/>
  <c r="W42" i="11" l="1"/>
  <c r="V42" i="11"/>
  <c r="U42" i="11"/>
  <c r="T42" i="11"/>
  <c r="R42" i="11"/>
  <c r="Q42" i="11"/>
  <c r="P42" i="11"/>
  <c r="O42" i="11"/>
  <c r="M23" i="11" l="1"/>
  <c r="J23" i="11"/>
</calcChain>
</file>

<file path=xl/sharedStrings.xml><?xml version="1.0" encoding="utf-8"?>
<sst xmlns="http://schemas.openxmlformats.org/spreadsheetml/2006/main" count="167" uniqueCount="115">
  <si>
    <t>Current contract provides for a bonus incentive opportunity not reflected in the stated current contract dayrate.</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</si>
  <si>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</si>
  <si>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(12)</t>
  </si>
  <si>
    <t>1976/1994/ 2008</t>
  </si>
  <si>
    <t>Rig Type/Name</t>
  </si>
  <si>
    <t>Water</t>
  </si>
  <si>
    <t>Depth</t>
  </si>
  <si>
    <t>Service</t>
  </si>
  <si>
    <t>Location</t>
  </si>
  <si>
    <t>USGOM</t>
  </si>
  <si>
    <t>UKNS</t>
  </si>
  <si>
    <t>Brazil</t>
  </si>
  <si>
    <t>Petrobras</t>
  </si>
  <si>
    <t>Nigeria</t>
  </si>
  <si>
    <t>Angola</t>
  </si>
  <si>
    <t>N/A</t>
  </si>
  <si>
    <t>1983/1996</t>
  </si>
  <si>
    <t xml:space="preserve"> </t>
  </si>
  <si>
    <t>ship</t>
  </si>
  <si>
    <t>semi</t>
  </si>
  <si>
    <t>Floater</t>
  </si>
  <si>
    <t>Type</t>
  </si>
  <si>
    <t>ExxonMobil</t>
  </si>
  <si>
    <t>«</t>
  </si>
  <si>
    <t>Entered</t>
  </si>
  <si>
    <t>Estimated</t>
  </si>
  <si>
    <t>(Feet)</t>
  </si>
  <si>
    <t>(Dollars)</t>
  </si>
  <si>
    <t>TBA</t>
  </si>
  <si>
    <t>1982/1998</t>
  </si>
  <si>
    <t>Footnotes</t>
  </si>
  <si>
    <t>DISCLAIMERS &amp; DEFINITIONS</t>
  </si>
  <si>
    <t>Customer</t>
  </si>
  <si>
    <t>High Specification Jackups</t>
  </si>
  <si>
    <t>Dayrate on</t>
  </si>
  <si>
    <t>GSF Celtic Sea</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</si>
  <si>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</si>
  <si>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</si>
  <si>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</si>
  <si>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</si>
  <si>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</si>
  <si>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</si>
  <si>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</si>
  <si>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</si>
  <si>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</si>
  <si>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</si>
  <si>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</si>
  <si>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</si>
  <si>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</si>
  <si>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</si>
  <si>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</si>
  <si>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GDF Suez</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</si>
  <si>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</si>
  <si>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</si>
  <si>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</si>
  <si>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</si>
  <si>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</si>
  <si>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</si>
  <si>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</si>
  <si>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</si>
  <si>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</si>
  <si>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</si>
  <si>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</si>
  <si>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 xml:space="preserve"> (6), (7), (8)</t>
  </si>
  <si>
    <t>Cajun Express</t>
  </si>
  <si>
    <t>GSF Development Driller I</t>
  </si>
  <si>
    <t>GSF Development Driller II</t>
  </si>
  <si>
    <t>Sedco Express</t>
  </si>
  <si>
    <t>Transocean Marianas</t>
  </si>
  <si>
    <t>Sedco 706</t>
  </si>
  <si>
    <t>M.G. Hulme, Jr.</t>
  </si>
  <si>
    <t>Revisions Noted in Bold</t>
  </si>
  <si>
    <t>Q4</t>
  </si>
  <si>
    <t>Q1</t>
  </si>
  <si>
    <t>Q2</t>
  </si>
  <si>
    <t>Q3</t>
  </si>
  <si>
    <t>Discoverer Deep Seas</t>
  </si>
  <si>
    <t>Murphy Oil</t>
  </si>
  <si>
    <t>Fixed-Price Options - See Footnote 10</t>
  </si>
  <si>
    <t>1979/1998</t>
  </si>
  <si>
    <r>
      <t xml:space="preserve">Estimated Out of Service Days </t>
    </r>
    <r>
      <rPr>
        <b/>
        <vertAlign val="superscript"/>
        <sz val="10"/>
        <color theme="0"/>
        <rFont val="Arial"/>
        <family val="2"/>
      </rPr>
      <t>(4)</t>
    </r>
  </si>
  <si>
    <t>Idle</t>
  </si>
  <si>
    <t>CNR</t>
  </si>
  <si>
    <t>Ivory Coast</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</si>
  <si>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</si>
  <si>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</si>
  <si>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</si>
  <si>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</si>
  <si>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Romania</t>
  </si>
  <si>
    <t>Lukoil</t>
  </si>
  <si>
    <t>GSF Monarch</t>
  </si>
  <si>
    <t>Transocean Cepheus</t>
  </si>
  <si>
    <t>Transocean Cassiopeia</t>
  </si>
  <si>
    <t>Transocean Centaurus</t>
  </si>
  <si>
    <t>Transocean Cetus</t>
  </si>
  <si>
    <t>Transocean Circinus</t>
  </si>
  <si>
    <t>CAMAC</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</si>
  <si>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</si>
  <si>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</si>
  <si>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</si>
  <si>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</si>
  <si>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 xml:space="preserve">Idle </t>
  </si>
  <si>
    <t>The first of five newbuild high-specification jackups contracted to Keppel FELS Limited's shipyard in Singapore is expected to be delivered from the shipyard in the first quarter of 2018 and the remaining four jackups delivered at approximately six-month intervals thereafter.</t>
  </si>
  <si>
    <t>Midwater Floaters</t>
  </si>
  <si>
    <t>GSF Rig 140</t>
  </si>
  <si>
    <t xml:space="preserve"> (6)</t>
  </si>
  <si>
    <t>India</t>
  </si>
  <si>
    <t>ONGC</t>
  </si>
  <si>
    <t>(13)</t>
  </si>
  <si>
    <t>Updated: May 18, 2015</t>
  </si>
  <si>
    <t>Rigs Under Construction</t>
  </si>
  <si>
    <t>Based on the rig's performance, the dayrate can fluctuate between $445,000 and $495,000.</t>
  </si>
  <si>
    <t>The customer, RMA, lost its operatorship due to actions taken by the Philippines Department of Energy.</t>
  </si>
  <si>
    <t>High Specification Floaters: Ultra-Deepwater</t>
  </si>
  <si>
    <t>High Specification Floaters: Deepwater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</si>
</sst>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indexed="22"/>
        <bgColor indexed="64"/>
      </patternFill>
    </fill>
    <fill>
      <patternFill patternType="solid">
        <fgColor rgb="FFDBE5F1"/>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5" fillId="0" borderId="0" applyFont="0" applyFill="0" applyBorder="0" applyAlignment="0" applyProtection="0"/>
    <xf numFmtId="0" fontId="4" fillId="0" borderId="0"/>
    <xf numFmtId="0" fontId="35" fillId="0" borderId="0"/>
    <xf numFmtId="9" fontId="35" fillId="0" borderId="0" applyFont="0" applyFill="0" applyBorder="0" applyAlignment="0" applyProtection="0"/>
    <xf numFmtId="41" fontId="5" fillId="7" borderId="0" applyNumberFormat="0" applyFont="0" applyBorder="0" applyAlignment="0" applyProtection="0"/>
    <xf numFmtId="0" fontId="36" fillId="0" borderId="0" applyNumberFormat="0" applyFill="0" applyBorder="0" applyAlignment="0" applyProtection="0"/>
    <xf numFmtId="0" fontId="37" fillId="0" borderId="2">
      <alignment horizontal="left" vertical="center"/>
    </xf>
    <xf numFmtId="168" fontId="5" fillId="0" borderId="0"/>
    <xf numFmtId="0" fontId="37" fillId="0" borderId="16" applyNumberFormat="0" applyAlignment="0" applyProtection="0">
      <alignment horizontal="left" vertical="center"/>
    </xf>
    <xf numFmtId="43" fontId="4" fillId="0" borderId="0" applyFont="0" applyFill="0" applyBorder="0" applyAlignment="0" applyProtection="0"/>
    <xf numFmtId="44" fontId="35" fillId="0" borderId="0" applyFont="0" applyFill="0" applyBorder="0" applyAlignment="0" applyProtection="0"/>
    <xf numFmtId="43" fontId="4" fillId="0" borderId="0" applyFont="0" applyFill="0" applyBorder="0" applyAlignment="0" applyProtection="0"/>
    <xf numFmtId="37" fontId="38" fillId="0" borderId="0"/>
    <xf numFmtId="0" fontId="4" fillId="0" borderId="0"/>
    <xf numFmtId="49" fontId="39"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34">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left"/>
    </xf>
    <xf numFmtId="14" fontId="5" fillId="0" borderId="0" xfId="0" applyNumberFormat="1" applyFont="1" applyFill="1"/>
    <xf numFmtId="167" fontId="5" fillId="0" borderId="1" xfId="4" applyNumberFormat="1" applyFont="1" applyFill="1" applyBorder="1" applyAlignment="1">
      <alignment vertical="top"/>
    </xf>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167" fontId="5" fillId="5" borderId="0" xfId="4" applyNumberFormat="1" applyFont="1" applyFill="1" applyBorder="1" applyAlignment="1">
      <alignment vertical="top"/>
    </xf>
    <xf numFmtId="0" fontId="6" fillId="0" borderId="14" xfId="0" applyFont="1" applyFill="1" applyBorder="1"/>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7" fillId="0" borderId="0" xfId="16" applyFont="1"/>
    <xf numFmtId="0" fontId="27" fillId="0" borderId="0" xfId="16" applyFont="1" applyFill="1"/>
    <xf numFmtId="0" fontId="27" fillId="0" borderId="0" xfId="0" applyFont="1" applyFill="1" applyAlignment="1"/>
    <xf numFmtId="0" fontId="28" fillId="0" borderId="0" xfId="16" applyFont="1"/>
    <xf numFmtId="0" fontId="27" fillId="6" borderId="0" xfId="16" applyFont="1" applyFill="1"/>
    <xf numFmtId="0" fontId="27" fillId="0" borderId="0" xfId="16" applyFont="1" applyAlignment="1">
      <alignment vertical="center"/>
    </xf>
    <xf numFmtId="0" fontId="27" fillId="0" borderId="0" xfId="16" applyFont="1" applyAlignment="1">
      <alignment vertical="top" wrapText="1"/>
    </xf>
    <xf numFmtId="0" fontId="6" fillId="0" borderId="8" xfId="0" applyFont="1" applyFill="1" applyBorder="1"/>
    <xf numFmtId="0" fontId="13"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7" xfId="0" applyFont="1" applyFill="1" applyBorder="1"/>
    <xf numFmtId="167" fontId="23"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3" fontId="5" fillId="0" borderId="1" xfId="0" applyNumberFormat="1" applyFont="1" applyFill="1" applyBorder="1" applyAlignment="1">
      <alignment horizontal="center" vertical="top" wrapText="1"/>
    </xf>
    <xf numFmtId="0" fontId="5" fillId="0" borderId="3" xfId="0" applyFont="1" applyFill="1" applyBorder="1" applyAlignment="1">
      <alignment horizontal="center" vertical="top" wrapText="1"/>
    </xf>
    <xf numFmtId="0" fontId="5" fillId="0" borderId="0" xfId="0" applyFont="1" applyFill="1" applyBorder="1" applyAlignment="1">
      <alignment horizontal="right" vertical="top" wrapText="1"/>
    </xf>
    <xf numFmtId="0" fontId="22" fillId="3" borderId="10" xfId="0" applyFont="1" applyFill="1" applyBorder="1" applyAlignment="1">
      <alignment vertical="top"/>
    </xf>
    <xf numFmtId="0" fontId="23" fillId="3" borderId="7" xfId="0" applyFont="1" applyFill="1" applyBorder="1" applyAlignment="1">
      <alignment horizontal="center" vertical="top" wrapText="1"/>
    </xf>
    <xf numFmtId="0" fontId="23" fillId="3" borderId="1" xfId="0" applyFont="1" applyFill="1" applyBorder="1" applyAlignment="1">
      <alignment horizontal="center" vertical="top"/>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5" fillId="0" borderId="0" xfId="0" applyFont="1" applyFill="1" applyBorder="1" applyAlignment="1">
      <alignment horizontal="right" vertical="top"/>
    </xf>
    <xf numFmtId="0" fontId="23" fillId="0" borderId="0" xfId="0" applyFont="1" applyFill="1" applyBorder="1" applyAlignment="1">
      <alignment horizontal="center" wrapText="1"/>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0" fontId="5" fillId="0" borderId="6" xfId="0" applyFont="1" applyFill="1" applyBorder="1" applyAlignment="1">
      <alignment horizontal="right" vertical="top" wrapText="1"/>
    </xf>
    <xf numFmtId="0" fontId="23" fillId="0" borderId="0" xfId="0" applyFont="1" applyFill="1" applyBorder="1" applyAlignment="1">
      <alignment horizontal="center"/>
    </xf>
    <xf numFmtId="0" fontId="25" fillId="0" borderId="0" xfId="0" applyFont="1" applyFill="1" applyBorder="1" applyAlignment="1">
      <alignment horizontal="center" vertical="top" wrapText="1"/>
    </xf>
    <xf numFmtId="167" fontId="5" fillId="0" borderId="7" xfId="4" applyNumberFormat="1" applyFont="1" applyFill="1" applyBorder="1" applyAlignment="1">
      <alignment vertical="top"/>
    </xf>
    <xf numFmtId="165" fontId="5" fillId="0" borderId="0" xfId="0" applyNumberFormat="1" applyFont="1" applyFill="1" applyAlignment="1">
      <alignment vertical="center"/>
    </xf>
    <xf numFmtId="165" fontId="40" fillId="0" borderId="0" xfId="0" applyNumberFormat="1" applyFont="1" applyFill="1" applyAlignment="1">
      <alignment horizontal="left" vertical="center"/>
    </xf>
    <xf numFmtId="0" fontId="16" fillId="0" borderId="0" xfId="0" applyFont="1" applyAlignment="1">
      <alignment horizontal="left" vertical="top" wrapText="1"/>
    </xf>
    <xf numFmtId="167" fontId="5" fillId="0" borderId="11" xfId="4" applyNumberFormat="1" applyFont="1" applyFill="1" applyBorder="1" applyAlignment="1">
      <alignment vertical="top"/>
    </xf>
    <xf numFmtId="0" fontId="6" fillId="0" borderId="10" xfId="0" applyFont="1" applyFill="1" applyBorder="1"/>
    <xf numFmtId="0" fontId="6" fillId="0" borderId="3" xfId="0" applyFont="1" applyFill="1" applyBorder="1" applyAlignment="1">
      <alignment horizontal="center"/>
    </xf>
    <xf numFmtId="0" fontId="5" fillId="0" borderId="3" xfId="0" applyFont="1" applyFill="1" applyBorder="1" applyAlignment="1">
      <alignment horizontal="center"/>
    </xf>
    <xf numFmtId="0" fontId="6" fillId="0" borderId="9" xfId="0" applyFont="1" applyFill="1" applyBorder="1" applyAlignment="1">
      <alignment horizontal="center"/>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0" fontId="23" fillId="0" borderId="0" xfId="0" applyFont="1" applyFill="1" applyBorder="1" applyAlignment="1">
      <alignment horizontal="center" vertical="top"/>
    </xf>
    <xf numFmtId="0" fontId="23" fillId="0" borderId="0" xfId="0" applyFont="1" applyFill="1" applyBorder="1" applyAlignment="1">
      <alignment horizontal="center" vertical="top" wrapText="1"/>
    </xf>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8" xfId="0" applyFont="1" applyFill="1" applyBorder="1" applyAlignment="1">
      <alignment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5" fillId="0" borderId="0" xfId="0" applyFont="1" applyFill="1"/>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166" fontId="5" fillId="0" borderId="0" xfId="0" applyNumberFormat="1" applyFont="1" applyFill="1"/>
    <xf numFmtId="167" fontId="5" fillId="0" borderId="0" xfId="4" applyNumberFormat="1" applyFont="1" applyFill="1" applyBorder="1" applyAlignment="1">
      <alignment vertical="top"/>
    </xf>
    <xf numFmtId="167" fontId="5" fillId="0" borderId="1" xfId="4" applyNumberFormat="1" applyFont="1" applyFill="1" applyBorder="1" applyAlignment="1">
      <alignment horizontal="center"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6" fillId="4" borderId="2" xfId="4" quotePrefix="1" applyNumberFormat="1" applyFont="1" applyFill="1" applyBorder="1" applyAlignment="1">
      <alignment horizontal="center" vertical="top"/>
    </xf>
    <xf numFmtId="167" fontId="26" fillId="4" borderId="5" xfId="4" quotePrefix="1" applyNumberFormat="1" applyFont="1" applyFill="1" applyBorder="1" applyAlignment="1">
      <alignment horizontal="center" vertical="top"/>
    </xf>
    <xf numFmtId="0" fontId="5" fillId="0" borderId="13" xfId="0" applyFont="1" applyFill="1" applyBorder="1" applyAlignment="1">
      <alignment horizontal="right" vertical="top"/>
    </xf>
    <xf numFmtId="0" fontId="13" fillId="0" borderId="0" xfId="3" applyFont="1" applyFill="1" applyBorder="1" applyAlignment="1">
      <alignment horizontal="center" vertical="top"/>
    </xf>
    <xf numFmtId="167" fontId="5" fillId="0" borderId="11" xfId="4"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0" fontId="26" fillId="4" borderId="4" xfId="0" applyFont="1" applyFill="1" applyBorder="1" applyAlignment="1">
      <alignment vertical="top"/>
    </xf>
    <xf numFmtId="0" fontId="26" fillId="4" borderId="12" xfId="0" applyFont="1" applyFill="1" applyBorder="1" applyAlignment="1">
      <alignment horizontal="right" vertical="top"/>
    </xf>
    <xf numFmtId="49" fontId="26" fillId="4" borderId="2" xfId="0" quotePrefix="1" applyNumberFormat="1" applyFont="1" applyFill="1" applyBorder="1" applyAlignment="1">
      <alignment vertical="top"/>
    </xf>
    <xf numFmtId="0" fontId="29" fillId="4" borderId="2" xfId="0" quotePrefix="1" applyFont="1" applyFill="1" applyBorder="1" applyAlignment="1">
      <alignment vertical="top"/>
    </xf>
    <xf numFmtId="0" fontId="30" fillId="4" borderId="2" xfId="0" quotePrefix="1" applyFont="1" applyFill="1" applyBorder="1" applyAlignment="1">
      <alignment vertical="top"/>
    </xf>
    <xf numFmtId="0" fontId="29" fillId="4" borderId="4" xfId="0" quotePrefix="1" applyFont="1" applyFill="1" applyBorder="1" applyAlignment="1">
      <alignment vertical="top"/>
    </xf>
    <xf numFmtId="167" fontId="26" fillId="4" borderId="12" xfId="4" applyNumberFormat="1" applyFont="1" applyFill="1" applyBorder="1" applyAlignment="1">
      <alignment horizontal="right" vertical="top"/>
    </xf>
    <xf numFmtId="0" fontId="26" fillId="4" borderId="2" xfId="0" quotePrefix="1" applyFont="1" applyFill="1" applyBorder="1" applyAlignment="1">
      <alignment vertical="top"/>
    </xf>
    <xf numFmtId="0" fontId="32" fillId="4" borderId="2" xfId="0" quotePrefix="1" applyFont="1" applyFill="1" applyBorder="1" applyAlignment="1">
      <alignment vertical="top"/>
    </xf>
    <xf numFmtId="0" fontId="33" fillId="4" borderId="2" xfId="0" quotePrefix="1" applyFont="1" applyFill="1" applyBorder="1" applyAlignment="1">
      <alignment vertical="top"/>
    </xf>
    <xf numFmtId="167" fontId="5" fillId="0" borderId="0" xfId="4" applyNumberFormat="1" applyFont="1" applyFill="1" applyBorder="1"/>
    <xf numFmtId="0" fontId="12" fillId="0" borderId="10" xfId="0" quotePrefix="1" applyFont="1" applyFill="1" applyBorder="1" applyAlignment="1">
      <alignment vertical="top"/>
    </xf>
    <xf numFmtId="0" fontId="31"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25" fillId="4" borderId="5" xfId="4" quotePrefix="1" applyNumberFormat="1" applyFont="1" applyFill="1" applyBorder="1" applyAlignment="1">
      <alignment horizontal="center" vertical="top"/>
    </xf>
    <xf numFmtId="167" fontId="25" fillId="4" borderId="2" xfId="4" quotePrefix="1" applyNumberFormat="1" applyFont="1" applyFill="1" applyBorder="1" applyAlignment="1">
      <alignment horizontal="center" vertical="top"/>
    </xf>
    <xf numFmtId="167" fontId="5" fillId="0" borderId="14" xfId="4" quotePrefix="1" applyNumberFormat="1" applyFont="1" applyFill="1" applyBorder="1" applyAlignment="1">
      <alignment horizontal="right" vertical="top" wrapText="1"/>
    </xf>
    <xf numFmtId="0" fontId="29" fillId="0" borderId="0" xfId="0" quotePrefix="1" applyFont="1" applyFill="1" applyBorder="1" applyAlignment="1">
      <alignment vertical="top"/>
    </xf>
    <xf numFmtId="0" fontId="12" fillId="0" borderId="0" xfId="0" quotePrefix="1" applyFont="1" applyFill="1" applyBorder="1" applyAlignment="1">
      <alignment vertical="top"/>
    </xf>
    <xf numFmtId="167" fontId="25" fillId="0" borderId="0" xfId="4" quotePrefix="1" applyNumberFormat="1" applyFont="1" applyFill="1" applyBorder="1" applyAlignment="1">
      <alignment horizontal="center" vertical="top"/>
    </xf>
    <xf numFmtId="167" fontId="26" fillId="0" borderId="0" xfId="4" quotePrefix="1" applyNumberFormat="1" applyFont="1" applyFill="1" applyBorder="1" applyAlignment="1">
      <alignment horizontal="center" vertical="top"/>
    </xf>
    <xf numFmtId="0" fontId="29"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6" fillId="4" borderId="2" xfId="0" quotePrefix="1" applyFont="1" applyFill="1" applyBorder="1" applyAlignment="1">
      <alignment horizontal="center" vertical="top"/>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6" fillId="4" borderId="2" xfId="0" quotePrefix="1" applyFont="1" applyFill="1" applyBorder="1" applyAlignment="1">
      <alignment horizontal="right" vertical="top"/>
    </xf>
    <xf numFmtId="0" fontId="26" fillId="4" borderId="5" xfId="0" quotePrefix="1" applyFont="1" applyFill="1" applyBorder="1" applyAlignment="1">
      <alignment horizontal="right" vertical="top"/>
    </xf>
    <xf numFmtId="0" fontId="34" fillId="4" borderId="4" xfId="0" quotePrefix="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7" fontId="12" fillId="0" borderId="0"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0" xfId="4" quotePrefix="1" applyNumberFormat="1" applyFont="1" applyFill="1" applyBorder="1" applyAlignment="1">
      <alignment horizontal="right" vertical="top" wrapText="1"/>
    </xf>
    <xf numFmtId="167" fontId="26" fillId="4" borderId="0" xfId="4" quotePrefix="1" applyNumberFormat="1" applyFont="1" applyFill="1" applyBorder="1" applyAlignment="1">
      <alignment horizontal="center" vertical="top"/>
    </xf>
    <xf numFmtId="167" fontId="26" fillId="4" borderId="8" xfId="4" quotePrefix="1" applyNumberFormat="1" applyFont="1" applyFill="1" applyBorder="1" applyAlignment="1">
      <alignment horizontal="center" vertical="top"/>
    </xf>
    <xf numFmtId="167" fontId="26" fillId="4" borderId="6" xfId="4" quotePrefix="1" applyNumberFormat="1" applyFont="1" applyFill="1" applyBorder="1" applyAlignment="1">
      <alignment horizontal="center" vertical="top"/>
    </xf>
    <xf numFmtId="0" fontId="5" fillId="0" borderId="1" xfId="0"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0" fontId="5" fillId="0" borderId="0" xfId="17" quotePrefix="1" applyFont="1" applyFill="1" applyBorder="1" applyAlignment="1">
      <alignment horizontal="center" vertical="top"/>
    </xf>
    <xf numFmtId="0" fontId="5" fillId="0" borderId="0" xfId="17" applyFont="1" applyFill="1" applyBorder="1" applyAlignment="1">
      <alignment horizontal="center" vertical="top" wrapText="1"/>
    </xf>
    <xf numFmtId="3" fontId="5" fillId="0" borderId="0" xfId="17" applyNumberFormat="1" applyFont="1" applyFill="1" applyBorder="1" applyAlignment="1">
      <alignment horizontal="center" vertical="top" wrapText="1"/>
    </xf>
    <xf numFmtId="167" fontId="5" fillId="0" borderId="15" xfId="4"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167" fontId="5" fillId="0" borderId="0" xfId="4" applyNumberFormat="1" applyFont="1" applyFill="1"/>
    <xf numFmtId="0" fontId="5" fillId="0" borderId="3" xfId="0" applyFont="1" applyFill="1" applyBorder="1" applyAlignment="1">
      <alignment horizontal="center" vertical="top"/>
    </xf>
    <xf numFmtId="167" fontId="5" fillId="0" borderId="9" xfId="4" applyNumberFormat="1" applyFont="1" applyFill="1" applyBorder="1" applyAlignment="1">
      <alignment horizontal="right" vertical="top" wrapText="1"/>
    </xf>
    <xf numFmtId="0" fontId="13" fillId="0" borderId="3" xfId="3" applyFont="1" applyFill="1" applyBorder="1" applyAlignment="1">
      <alignment horizontal="center" vertical="top"/>
    </xf>
    <xf numFmtId="3" fontId="5" fillId="0" borderId="3" xfId="0" applyNumberFormat="1" applyFont="1" applyFill="1" applyBorder="1" applyAlignment="1">
      <alignment horizontal="center" vertical="top" wrapText="1"/>
    </xf>
    <xf numFmtId="167" fontId="12" fillId="4" borderId="5" xfId="4" quotePrefix="1" applyNumberFormat="1" applyFont="1" applyFill="1" applyBorder="1" applyAlignment="1">
      <alignment horizontal="center" vertical="top"/>
    </xf>
    <xf numFmtId="167" fontId="5" fillId="4" borderId="5" xfId="4" quotePrefix="1" applyNumberFormat="1" applyFont="1" applyFill="1" applyBorder="1" applyAlignment="1">
      <alignment horizontal="center" vertical="top"/>
    </xf>
    <xf numFmtId="0" fontId="5" fillId="0" borderId="10" xfId="2" applyFont="1" applyFill="1" applyBorder="1" applyAlignment="1">
      <alignment vertical="top" wrapText="1"/>
    </xf>
    <xf numFmtId="167" fontId="5" fillId="0" borderId="13" xfId="4" applyNumberFormat="1" applyFont="1" applyFill="1" applyBorder="1" applyAlignment="1">
      <alignment horizontal="right" vertical="top" wrapText="1"/>
    </xf>
    <xf numFmtId="0" fontId="5" fillId="0" borderId="3" xfId="2" applyFont="1" applyFill="1" applyBorder="1" applyAlignment="1">
      <alignment horizontal="center" vertical="top"/>
    </xf>
    <xf numFmtId="1" fontId="5" fillId="0" borderId="3" xfId="2" applyNumberFormat="1" applyFont="1" applyFill="1" applyBorder="1" applyAlignment="1">
      <alignment horizontal="center" vertical="top"/>
    </xf>
    <xf numFmtId="3" fontId="5" fillId="0" borderId="3" xfId="2" applyNumberFormat="1" applyFont="1" applyFill="1" applyBorder="1" applyAlignment="1">
      <alignment horizontal="center" vertical="top"/>
    </xf>
    <xf numFmtId="0" fontId="5" fillId="0" borderId="3" xfId="2" applyFont="1" applyFill="1" applyBorder="1" applyAlignment="1">
      <alignment horizontal="center" vertical="top" wrapText="1"/>
    </xf>
    <xf numFmtId="17" fontId="5" fillId="0" borderId="3" xfId="2" applyNumberFormat="1" applyFont="1" applyFill="1" applyBorder="1" applyAlignment="1">
      <alignment horizontal="center" vertical="top" wrapText="1"/>
    </xf>
    <xf numFmtId="164" fontId="5" fillId="0" borderId="3" xfId="2" applyNumberFormat="1" applyFont="1" applyFill="1" applyBorder="1" applyAlignment="1">
      <alignment horizontal="right" vertical="top" wrapText="1"/>
    </xf>
    <xf numFmtId="164" fontId="5" fillId="0" borderId="9" xfId="2" applyNumberFormat="1" applyFont="1" applyFill="1" applyBorder="1" applyAlignment="1">
      <alignment horizontal="right" vertical="top" wrapText="1"/>
    </xf>
    <xf numFmtId="0" fontId="13" fillId="0" borderId="1" xfId="3" applyFont="1" applyFill="1" applyBorder="1" applyAlignment="1">
      <alignment horizontal="center" vertical="top"/>
    </xf>
    <xf numFmtId="17" fontId="5" fillId="0" borderId="3" xfId="3" applyNumberFormat="1" applyFont="1" applyFill="1" applyBorder="1" applyAlignment="1">
      <alignment horizontal="center" vertical="top" wrapText="1"/>
    </xf>
    <xf numFmtId="0" fontId="5" fillId="0" borderId="10" xfId="0" applyFont="1" applyFill="1" applyBorder="1" applyAlignment="1">
      <alignment vertical="top"/>
    </xf>
    <xf numFmtId="167" fontId="5" fillId="0" borderId="3"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167" fontId="6" fillId="0" borderId="0" xfId="4" applyNumberFormat="1" applyFont="1" applyFill="1" applyBorder="1" applyAlignment="1">
      <alignment horizontal="right" vertical="top" wrapText="1"/>
    </xf>
    <xf numFmtId="0" fontId="6" fillId="0" borderId="0" xfId="0" applyFont="1" applyFill="1" applyBorder="1" applyAlignment="1">
      <alignment vertical="center"/>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6" fillId="0" borderId="8" xfId="0" applyFont="1" applyFill="1" applyBorder="1" applyAlignment="1">
      <alignment vertical="top" wrapText="1"/>
    </xf>
    <xf numFmtId="0" fontId="6" fillId="0" borderId="8" xfId="17" quotePrefix="1" applyFont="1" applyFill="1" applyBorder="1" applyAlignment="1">
      <alignment horizontal="left" vertical="top" wrapText="1"/>
    </xf>
    <xf numFmtId="0" fontId="6" fillId="0" borderId="7" xfId="0" applyFont="1" applyFill="1" applyBorder="1" applyAlignment="1">
      <alignment horizontal="justify" vertical="top" wrapText="1"/>
    </xf>
    <xf numFmtId="0" fontId="6" fillId="0" borderId="8" xfId="0" quotePrefix="1" applyFont="1" applyFill="1" applyBorder="1" applyAlignment="1">
      <alignment horizontal="left" vertical="top" wrapText="1"/>
    </xf>
    <xf numFmtId="167" fontId="12" fillId="0" borderId="10" xfId="4" quotePrefix="1" applyNumberFormat="1" applyFont="1" applyFill="1" applyBorder="1" applyAlignment="1">
      <alignment horizontal="center" vertical="top"/>
    </xf>
    <xf numFmtId="167" fontId="12" fillId="0" borderId="3" xfId="4" quotePrefix="1" applyNumberFormat="1" applyFont="1" applyFill="1" applyBorder="1" applyAlignment="1">
      <alignment horizontal="center" vertical="top"/>
    </xf>
    <xf numFmtId="167" fontId="12" fillId="0" borderId="9" xfId="4" quotePrefix="1" applyNumberFormat="1" applyFont="1" applyFill="1" applyBorder="1" applyAlignment="1">
      <alignment horizontal="center" vertical="top"/>
    </xf>
    <xf numFmtId="0" fontId="6" fillId="0" borderId="7" xfId="0" applyFont="1" applyFill="1" applyBorder="1" applyAlignment="1">
      <alignment vertical="top" wrapText="1"/>
    </xf>
    <xf numFmtId="167" fontId="6" fillId="0" borderId="1" xfId="4" applyNumberFormat="1" applyFont="1" applyFill="1" applyBorder="1" applyAlignment="1">
      <alignment horizontal="right"/>
    </xf>
    <xf numFmtId="167" fontId="5" fillId="0" borderId="2" xfId="4" quotePrefix="1" applyNumberFormat="1" applyFont="1" applyFill="1" applyBorder="1" applyAlignment="1">
      <alignment horizontal="center" vertical="top"/>
    </xf>
    <xf numFmtId="3" fontId="5" fillId="0" borderId="3" xfId="0" applyNumberFormat="1" applyFont="1" applyFill="1" applyBorder="1" applyAlignment="1">
      <alignment horizontal="center" vertical="top"/>
    </xf>
    <xf numFmtId="0" fontId="6" fillId="0" borderId="13" xfId="0" applyFont="1" applyFill="1" applyBorder="1"/>
    <xf numFmtId="167" fontId="6" fillId="0" borderId="2"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0" fontId="6" fillId="0" borderId="8" xfId="0" applyFont="1" applyFill="1" applyBorder="1" applyAlignment="1">
      <alignment horizontal="left" vertical="top" wrapText="1"/>
    </xf>
    <xf numFmtId="0" fontId="5" fillId="0" borderId="10" xfId="0" applyFont="1" applyFill="1" applyBorder="1"/>
    <xf numFmtId="0" fontId="5" fillId="0" borderId="3" xfId="0" applyFont="1" applyFill="1" applyBorder="1"/>
    <xf numFmtId="166" fontId="5" fillId="0" borderId="3" xfId="0" applyNumberFormat="1" applyFont="1" applyFill="1" applyBorder="1"/>
    <xf numFmtId="0" fontId="5" fillId="0" borderId="9" xfId="0" applyFont="1" applyFill="1" applyBorder="1"/>
    <xf numFmtId="167" fontId="6" fillId="0" borderId="14" xfId="4" applyNumberFormat="1" applyFont="1" applyFill="1" applyBorder="1" applyAlignment="1">
      <alignment horizontal="right" vertical="top" wrapText="1"/>
    </xf>
    <xf numFmtId="0" fontId="6" fillId="5" borderId="8" xfId="0" applyFont="1" applyFill="1" applyBorder="1" applyAlignment="1">
      <alignment horizontal="left" vertical="top" wrapText="1"/>
    </xf>
    <xf numFmtId="167" fontId="6" fillId="5" borderId="14" xfId="4" applyNumberFormat="1" applyFont="1" applyFill="1" applyBorder="1" applyAlignment="1">
      <alignment horizontal="right" vertical="top" wrapText="1"/>
    </xf>
    <xf numFmtId="0" fontId="5" fillId="5" borderId="0" xfId="0" applyFont="1" applyFill="1" applyBorder="1" applyAlignment="1">
      <alignment horizontal="center" vertical="top" wrapText="1"/>
    </xf>
    <xf numFmtId="0" fontId="13" fillId="5" borderId="0" xfId="3" applyFont="1" applyFill="1" applyBorder="1" applyAlignment="1">
      <alignment horizontal="center" vertical="top"/>
    </xf>
    <xf numFmtId="3" fontId="5" fillId="5" borderId="0" xfId="0" applyNumberFormat="1" applyFont="1" applyFill="1" applyBorder="1" applyAlignment="1">
      <alignment horizontal="center" vertical="top" wrapText="1"/>
    </xf>
    <xf numFmtId="17" fontId="5" fillId="5" borderId="0" xfId="2" applyNumberFormat="1" applyFont="1" applyFill="1" applyBorder="1" applyAlignment="1">
      <alignment horizontal="center" vertical="top" wrapText="1"/>
    </xf>
    <xf numFmtId="167" fontId="5" fillId="5" borderId="0" xfId="4" applyNumberFormat="1" applyFont="1" applyFill="1" applyBorder="1" applyAlignment="1">
      <alignment horizontal="right" vertical="top" wrapText="1"/>
    </xf>
    <xf numFmtId="0" fontId="5" fillId="5" borderId="6" xfId="0" applyFont="1" applyFill="1" applyBorder="1" applyAlignment="1">
      <alignment horizontal="right" vertical="top" wrapText="1"/>
    </xf>
    <xf numFmtId="167" fontId="5" fillId="5" borderId="8" xfId="4" applyNumberFormat="1" applyFont="1" applyFill="1" applyBorder="1" applyAlignment="1">
      <alignment horizontal="center" vertical="top"/>
    </xf>
    <xf numFmtId="167" fontId="5" fillId="5" borderId="0" xfId="4" applyNumberFormat="1" applyFont="1" applyFill="1" applyBorder="1" applyAlignment="1">
      <alignment horizontal="center" vertical="top"/>
    </xf>
    <xf numFmtId="167" fontId="5" fillId="5" borderId="6" xfId="4" applyNumberFormat="1" applyFont="1" applyFill="1" applyBorder="1" applyAlignment="1">
      <alignment horizontal="center" vertical="top"/>
    </xf>
    <xf numFmtId="0" fontId="6" fillId="5" borderId="7" xfId="0" applyFont="1" applyFill="1" applyBorder="1" applyAlignment="1">
      <alignment horizontal="left" vertical="top" wrapText="1"/>
    </xf>
    <xf numFmtId="167" fontId="6" fillId="5" borderId="15" xfId="4" applyNumberFormat="1" applyFont="1" applyFill="1" applyBorder="1" applyAlignment="1">
      <alignment horizontal="right" vertical="top" wrapText="1"/>
    </xf>
    <xf numFmtId="0" fontId="5" fillId="5" borderId="1" xfId="0" applyFont="1" applyFill="1" applyBorder="1" applyAlignment="1">
      <alignment horizontal="center" vertical="top" wrapText="1"/>
    </xf>
    <xf numFmtId="0" fontId="13" fillId="5" borderId="1" xfId="3" applyFont="1" applyFill="1" applyBorder="1" applyAlignment="1">
      <alignment horizontal="center" vertical="top"/>
    </xf>
    <xf numFmtId="3" fontId="5" fillId="5" borderId="1" xfId="0" applyNumberFormat="1" applyFont="1" applyFill="1" applyBorder="1" applyAlignment="1">
      <alignment horizontal="center" vertical="top" wrapText="1"/>
    </xf>
    <xf numFmtId="17" fontId="5" fillId="5" borderId="1" xfId="2" applyNumberFormat="1" applyFont="1" applyFill="1" applyBorder="1" applyAlignment="1">
      <alignment horizontal="center" vertical="top" wrapText="1"/>
    </xf>
    <xf numFmtId="167" fontId="5" fillId="5" borderId="1" xfId="4" applyNumberFormat="1" applyFont="1" applyFill="1" applyBorder="1" applyAlignment="1">
      <alignment horizontal="right" vertical="top" wrapText="1"/>
    </xf>
    <xf numFmtId="0" fontId="5" fillId="5" borderId="11" xfId="0" applyFont="1" applyFill="1" applyBorder="1" applyAlignment="1">
      <alignment horizontal="right" vertical="top" wrapText="1"/>
    </xf>
    <xf numFmtId="167" fontId="5" fillId="5" borderId="7" xfId="4" applyNumberFormat="1" applyFont="1" applyFill="1" applyBorder="1" applyAlignment="1">
      <alignment horizontal="center" vertical="top"/>
    </xf>
    <xf numFmtId="167" fontId="5" fillId="5" borderId="1" xfId="4" applyNumberFormat="1" applyFont="1" applyFill="1" applyBorder="1" applyAlignment="1">
      <alignment horizontal="center" vertical="top"/>
    </xf>
    <xf numFmtId="167" fontId="5" fillId="5" borderId="11" xfId="4" applyNumberFormat="1" applyFont="1" applyFill="1" applyBorder="1" applyAlignment="1">
      <alignment horizontal="center" vertical="top"/>
    </xf>
    <xf numFmtId="0" fontId="6" fillId="5" borderId="8" xfId="0" applyFont="1" applyFill="1" applyBorder="1" applyAlignment="1">
      <alignment vertical="top"/>
    </xf>
    <xf numFmtId="167" fontId="6" fillId="5" borderId="14" xfId="4" quotePrefix="1" applyNumberFormat="1" applyFont="1" applyFill="1" applyBorder="1" applyAlignment="1">
      <alignment horizontal="right" vertical="top" wrapText="1"/>
    </xf>
    <xf numFmtId="17" fontId="5" fillId="5" borderId="0" xfId="3" applyNumberFormat="1" applyFont="1" applyFill="1" applyBorder="1" applyAlignment="1">
      <alignment horizontal="center" vertical="top" wrapText="1"/>
    </xf>
    <xf numFmtId="167" fontId="5" fillId="5" borderId="0" xfId="4" quotePrefix="1" applyNumberFormat="1" applyFont="1" applyFill="1" applyBorder="1" applyAlignment="1">
      <alignment horizontal="right" vertical="top" wrapText="1"/>
    </xf>
    <xf numFmtId="167" fontId="5" fillId="5" borderId="6" xfId="4" applyNumberFormat="1" applyFont="1" applyFill="1" applyBorder="1" applyAlignment="1">
      <alignment horizontal="right" vertical="top" wrapText="1"/>
    </xf>
    <xf numFmtId="0" fontId="6" fillId="5" borderId="8" xfId="0" applyFont="1" applyFill="1" applyBorder="1" applyAlignment="1">
      <alignment vertical="top" wrapText="1"/>
    </xf>
    <xf numFmtId="167" fontId="5" fillId="5" borderId="14" xfId="4" applyNumberFormat="1" applyFont="1" applyFill="1" applyBorder="1" applyAlignment="1">
      <alignment horizontal="right" vertical="top" wrapText="1"/>
    </xf>
    <xf numFmtId="17" fontId="6" fillId="5" borderId="0" xfId="3" applyNumberFormat="1" applyFont="1" applyFill="1" applyBorder="1" applyAlignment="1">
      <alignment horizontal="center" vertical="top" wrapText="1"/>
    </xf>
    <xf numFmtId="167" fontId="5" fillId="5" borderId="14" xfId="4" quotePrefix="1" applyNumberFormat="1" applyFont="1" applyFill="1" applyBorder="1" applyAlignment="1">
      <alignment horizontal="right" vertical="top" wrapText="1"/>
    </xf>
    <xf numFmtId="167" fontId="5" fillId="5" borderId="8" xfId="4" applyNumberFormat="1" applyFont="1" applyFill="1" applyBorder="1" applyAlignment="1">
      <alignment vertical="top"/>
    </xf>
    <xf numFmtId="167" fontId="5" fillId="5" borderId="6" xfId="4" applyNumberFormat="1" applyFont="1" applyFill="1" applyBorder="1" applyAlignment="1">
      <alignment vertical="top"/>
    </xf>
    <xf numFmtId="167" fontId="6" fillId="5" borderId="0" xfId="4" applyNumberFormat="1" applyFont="1" applyFill="1" applyBorder="1" applyAlignment="1">
      <alignment horizontal="center" vertical="top"/>
    </xf>
    <xf numFmtId="0" fontId="5" fillId="0" borderId="7" xfId="0" quotePrefix="1" applyFont="1" applyFill="1" applyBorder="1" applyAlignment="1">
      <alignment horizontal="left" vertical="top" wrapText="1"/>
    </xf>
    <xf numFmtId="167" fontId="5" fillId="0" borderId="11" xfId="4" quotePrefix="1" applyNumberFormat="1" applyFont="1" applyFill="1" applyBorder="1" applyAlignment="1">
      <alignment horizontal="right" vertical="top" wrapText="1"/>
    </xf>
    <xf numFmtId="167" fontId="5" fillId="0" borderId="11" xfId="4" applyNumberFormat="1" applyFont="1" applyFill="1" applyBorder="1" applyAlignment="1">
      <alignment horizontal="right"/>
    </xf>
    <xf numFmtId="167" fontId="29" fillId="4" borderId="12" xfId="4" quotePrefix="1" applyNumberFormat="1" applyFont="1" applyFill="1" applyBorder="1" applyAlignment="1">
      <alignment horizontal="right" vertical="top"/>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0" fontId="5" fillId="0" borderId="0" xfId="3" applyFont="1" applyFill="1" applyBorder="1" applyAlignment="1">
      <alignment horizontal="center" vertical="top" wrapText="1"/>
    </xf>
    <xf numFmtId="164" fontId="5" fillId="0" borderId="6" xfId="3" applyNumberFormat="1" applyFont="1" applyFill="1" applyBorder="1" applyAlignment="1">
      <alignment horizontal="right" vertical="top" wrapText="1"/>
    </xf>
    <xf numFmtId="167" fontId="5" fillId="0" borderId="8" xfId="4" applyNumberFormat="1" applyFont="1" applyFill="1" applyBorder="1" applyAlignment="1">
      <alignment vertical="top"/>
    </xf>
    <xf numFmtId="167" fontId="5" fillId="0" borderId="6" xfId="4" applyNumberFormat="1" applyFont="1" applyFill="1" applyBorder="1" applyAlignment="1">
      <alignment vertical="top"/>
    </xf>
    <xf numFmtId="0" fontId="6" fillId="8" borderId="14" xfId="0" quotePrefix="1" applyFont="1" applyFill="1" applyBorder="1" applyAlignment="1">
      <alignment horizontal="left" vertical="top" wrapText="1"/>
    </xf>
    <xf numFmtId="167" fontId="5" fillId="8" borderId="14" xfId="4" quotePrefix="1" applyNumberFormat="1" applyFont="1" applyFill="1" applyBorder="1" applyAlignment="1">
      <alignment horizontal="right" vertical="top" wrapText="1"/>
    </xf>
    <xf numFmtId="0" fontId="5" fillId="8" borderId="0" xfId="0" applyFont="1" applyFill="1" applyBorder="1" applyAlignment="1">
      <alignment horizontal="center" vertical="top" wrapText="1"/>
    </xf>
    <xf numFmtId="3" fontId="5" fillId="8" borderId="0" xfId="0" applyNumberFormat="1" applyFont="1" applyFill="1" applyBorder="1" applyAlignment="1">
      <alignment horizontal="center" vertical="top" wrapText="1"/>
    </xf>
    <xf numFmtId="17" fontId="5" fillId="8" borderId="0" xfId="3" applyNumberFormat="1" applyFont="1" applyFill="1" applyBorder="1" applyAlignment="1">
      <alignment horizontal="center" vertical="top" wrapText="1"/>
    </xf>
    <xf numFmtId="167" fontId="5" fillId="8" borderId="6" xfId="4" applyNumberFormat="1" applyFont="1" applyFill="1" applyBorder="1" applyAlignment="1">
      <alignment horizontal="right" vertical="top" wrapText="1"/>
    </xf>
    <xf numFmtId="0" fontId="6" fillId="0" borderId="7" xfId="0" applyFont="1" applyFill="1" applyBorder="1"/>
    <xf numFmtId="0" fontId="5" fillId="0" borderId="1" xfId="0" applyFont="1" applyFill="1" applyBorder="1" applyAlignment="1">
      <alignment horizontal="center"/>
    </xf>
    <xf numFmtId="1" fontId="5" fillId="0" borderId="1" xfId="3" applyNumberFormat="1" applyFont="1" applyFill="1" applyBorder="1" applyAlignment="1">
      <alignment horizontal="center" vertical="top"/>
    </xf>
    <xf numFmtId="3" fontId="5" fillId="0" borderId="1" xfId="3" applyNumberFormat="1" applyFont="1" applyFill="1" applyBorder="1" applyAlignment="1">
      <alignment horizontal="center" vertical="top"/>
    </xf>
    <xf numFmtId="0" fontId="5" fillId="0" borderId="1" xfId="3" applyFont="1" applyFill="1" applyBorder="1" applyAlignment="1">
      <alignment horizontal="center" vertical="top" wrapText="1"/>
    </xf>
    <xf numFmtId="17" fontId="5" fillId="0" borderId="1" xfId="3" quotePrefix="1" applyNumberFormat="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8" borderId="15" xfId="0" quotePrefix="1" applyFont="1" applyFill="1" applyBorder="1" applyAlignment="1">
      <alignment horizontal="left" vertical="top" wrapText="1"/>
    </xf>
    <xf numFmtId="167" fontId="5" fillId="8" borderId="15" xfId="4" quotePrefix="1" applyNumberFormat="1" applyFont="1" applyFill="1" applyBorder="1" applyAlignment="1">
      <alignment horizontal="right" vertical="top" wrapText="1"/>
    </xf>
    <xf numFmtId="0" fontId="5" fillId="8" borderId="1" xfId="0" applyFont="1" applyFill="1" applyBorder="1" applyAlignment="1">
      <alignment horizontal="center" vertical="top" wrapText="1"/>
    </xf>
    <xf numFmtId="0" fontId="13" fillId="8" borderId="1" xfId="3" applyFont="1" applyFill="1" applyBorder="1" applyAlignment="1">
      <alignment horizontal="center" vertical="top"/>
    </xf>
    <xf numFmtId="3" fontId="5" fillId="8" borderId="1" xfId="0" applyNumberFormat="1" applyFont="1" applyFill="1" applyBorder="1" applyAlignment="1">
      <alignment horizontal="center" vertical="top" wrapText="1"/>
    </xf>
    <xf numFmtId="17" fontId="6" fillId="8" borderId="1" xfId="3" applyNumberFormat="1" applyFont="1" applyFill="1" applyBorder="1" applyAlignment="1">
      <alignment horizontal="center" vertical="top" wrapText="1"/>
    </xf>
    <xf numFmtId="167" fontId="5" fillId="8" borderId="11" xfId="4" applyNumberFormat="1" applyFont="1" applyFill="1" applyBorder="1" applyAlignment="1">
      <alignment horizontal="right" vertical="top" wrapText="1"/>
    </xf>
    <xf numFmtId="167" fontId="6" fillId="8" borderId="1" xfId="4" applyNumberFormat="1" applyFont="1" applyFill="1" applyBorder="1" applyAlignment="1">
      <alignment horizontal="right" vertical="top" wrapText="1"/>
    </xf>
    <xf numFmtId="167" fontId="5" fillId="8" borderId="7" xfId="4" applyNumberFormat="1" applyFont="1" applyFill="1" applyBorder="1" applyAlignment="1">
      <alignment horizontal="center" vertical="top"/>
    </xf>
    <xf numFmtId="167" fontId="5" fillId="8" borderId="1" xfId="4" applyNumberFormat="1" applyFont="1" applyFill="1" applyBorder="1" applyAlignment="1">
      <alignment horizontal="center" vertical="top"/>
    </xf>
    <xf numFmtId="167" fontId="5" fillId="8" borderId="11" xfId="4" applyNumberFormat="1" applyFont="1" applyFill="1" applyBorder="1" applyAlignment="1">
      <alignment horizontal="center" vertical="top"/>
    </xf>
    <xf numFmtId="167" fontId="5" fillId="8" borderId="8" xfId="4" applyNumberFormat="1" applyFont="1" applyFill="1" applyBorder="1" applyAlignment="1">
      <alignment vertical="top"/>
    </xf>
    <xf numFmtId="167" fontId="5" fillId="8" borderId="0" xfId="4" applyNumberFormat="1" applyFont="1" applyFill="1" applyBorder="1" applyAlignment="1">
      <alignment vertical="top"/>
    </xf>
    <xf numFmtId="167" fontId="5" fillId="8" borderId="6" xfId="4" applyNumberFormat="1" applyFont="1" applyFill="1" applyBorder="1" applyAlignment="1">
      <alignment vertical="top"/>
    </xf>
    <xf numFmtId="167" fontId="5" fillId="8" borderId="0" xfId="4" applyNumberFormat="1" applyFont="1" applyFill="1" applyBorder="1" applyAlignment="1">
      <alignment horizontal="right" vertical="top" wrapText="1"/>
    </xf>
    <xf numFmtId="0" fontId="6" fillId="8" borderId="1" xfId="0" applyFont="1" applyFill="1" applyBorder="1" applyAlignment="1">
      <alignment horizontal="center" vertical="top" wrapText="1"/>
    </xf>
    <xf numFmtId="49" fontId="6" fillId="0" borderId="0" xfId="0" applyNumberFormat="1" applyFont="1" applyAlignment="1">
      <alignment horizontal="right" vertical="top" wrapText="1"/>
    </xf>
    <xf numFmtId="0" fontId="6" fillId="5" borderId="0" xfId="0" applyFont="1" applyFill="1" applyBorder="1" applyAlignment="1">
      <alignment horizontal="center" vertical="top" wrapText="1"/>
    </xf>
    <xf numFmtId="167" fontId="6" fillId="5" borderId="0" xfId="4" applyNumberFormat="1" applyFont="1" applyFill="1" applyBorder="1" applyAlignment="1">
      <alignment horizontal="right" vertical="top" wrapText="1"/>
    </xf>
    <xf numFmtId="167" fontId="6" fillId="8" borderId="11" xfId="4" applyNumberFormat="1" applyFont="1" applyFill="1" applyBorder="1" applyAlignment="1">
      <alignment horizontal="right" vertical="top" wrapText="1"/>
    </xf>
    <xf numFmtId="167" fontId="6" fillId="0" borderId="15" xfId="4" quotePrefix="1" applyNumberFormat="1" applyFont="1" applyFill="1" applyBorder="1" applyAlignment="1">
      <alignment horizontal="right" vertical="top" wrapText="1"/>
    </xf>
    <xf numFmtId="0" fontId="6" fillId="8" borderId="8" xfId="0" applyFont="1" applyFill="1" applyBorder="1" applyAlignment="1">
      <alignment vertical="top" wrapText="1"/>
    </xf>
    <xf numFmtId="167" fontId="5" fillId="8" borderId="14" xfId="4" applyNumberFormat="1" applyFont="1" applyFill="1" applyBorder="1" applyAlignment="1">
      <alignment horizontal="right" vertical="top" wrapText="1"/>
    </xf>
    <xf numFmtId="167" fontId="6" fillId="8" borderId="14" xfId="4" applyNumberFormat="1" applyFont="1" applyFill="1" applyBorder="1" applyAlignment="1">
      <alignment horizontal="right" vertical="top" wrapText="1"/>
    </xf>
    <xf numFmtId="17" fontId="6" fillId="8" borderId="0" xfId="3" applyNumberFormat="1" applyFont="1" applyFill="1" applyBorder="1" applyAlignment="1">
      <alignment horizontal="center" vertical="top" wrapText="1"/>
    </xf>
    <xf numFmtId="49" fontId="6" fillId="0" borderId="0" xfId="0" applyNumberFormat="1" applyFont="1" applyFill="1" applyAlignment="1">
      <alignment horizontal="righ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6" fillId="0" borderId="0" xfId="0" applyFont="1" applyFill="1"/>
    <xf numFmtId="0" fontId="6" fillId="0" borderId="0" xfId="0" applyFont="1" applyFill="1" applyAlignment="1">
      <alignment horizontal="left" vertical="top" wrapText="1"/>
    </xf>
    <xf numFmtId="0" fontId="11" fillId="0" borderId="2" xfId="2" applyFont="1" applyFill="1" applyBorder="1" applyAlignment="1">
      <alignment horizontal="left" vertical="top"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6" fillId="0" borderId="0" xfId="0" applyFont="1" applyFill="1" applyBorder="1" applyAlignment="1">
      <alignment horizontal="left" vertical="top" wrapText="1"/>
    </xf>
    <xf numFmtId="0" fontId="5"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FF99"/>
      <color rgb="FFFFCCFF"/>
      <color rgb="FF053470"/>
      <color rgb="FF8DCD47"/>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Update</a:t>
          </a:r>
        </a:p>
        <a:p>
          <a:pPr algn="ctr"/>
          <a:r>
            <a:rPr lang="en-US" altLang="zh-CN" sz="3600" b="1">
              <a:solidFill>
                <a:srgbClr val="0F4B82"/>
              </a:solidFill>
            </a:rPr>
            <a:t>May 18,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ystal.Lazenby/AppData/Local/Microsoft/Windows/Temporary%20Internet%20Files/Content.Outlook/LPY0YAL6/OOS%20Comparision%20-%20Apri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cst Retrieve"/>
      <sheetName val="2015"/>
      <sheetName val="2016"/>
      <sheetName val="2014-15 OOS Days"/>
      <sheetName val="Actual Hours"/>
      <sheetName val="Actual Hours (2)"/>
      <sheetName val="Master"/>
    </sheetNames>
    <sheetDataSet>
      <sheetData sheetId="0"/>
      <sheetData sheetId="1">
        <row r="4">
          <cell r="B4" t="str">
            <v>Deepwater Discovery</v>
          </cell>
          <cell r="C4">
            <v>0</v>
          </cell>
          <cell r="D4">
            <v>7</v>
          </cell>
          <cell r="E4">
            <v>92</v>
          </cell>
          <cell r="F4">
            <v>18</v>
          </cell>
          <cell r="G4">
            <v>0</v>
          </cell>
          <cell r="H4">
            <v>0</v>
          </cell>
          <cell r="I4">
            <v>0</v>
          </cell>
          <cell r="J4">
            <v>0</v>
          </cell>
          <cell r="K4">
            <v>0</v>
          </cell>
          <cell r="L4">
            <v>0</v>
          </cell>
          <cell r="M4">
            <v>0</v>
          </cell>
          <cell r="N4">
            <v>0</v>
          </cell>
          <cell r="O4">
            <v>0</v>
          </cell>
          <cell r="P4">
            <v>0</v>
          </cell>
          <cell r="Q4">
            <v>0</v>
          </cell>
          <cell r="R4">
            <v>0</v>
          </cell>
        </row>
        <row r="5">
          <cell r="B5" t="str">
            <v>Discoverer Americas</v>
          </cell>
          <cell r="C5">
            <v>0</v>
          </cell>
          <cell r="D5">
            <v>0</v>
          </cell>
          <cell r="E5">
            <v>0</v>
          </cell>
          <cell r="F5">
            <v>0</v>
          </cell>
          <cell r="G5">
            <v>0</v>
          </cell>
          <cell r="H5">
            <v>0</v>
          </cell>
          <cell r="I5">
            <v>0</v>
          </cell>
          <cell r="J5">
            <v>0</v>
          </cell>
          <cell r="K5">
            <v>0</v>
          </cell>
          <cell r="L5">
            <v>40</v>
          </cell>
          <cell r="M5">
            <v>8</v>
          </cell>
          <cell r="N5">
            <v>0</v>
          </cell>
          <cell r="O5">
            <v>0</v>
          </cell>
          <cell r="P5">
            <v>0</v>
          </cell>
          <cell r="Q5">
            <v>0</v>
          </cell>
          <cell r="R5">
            <v>0</v>
          </cell>
        </row>
        <row r="6">
          <cell r="B6" t="str">
            <v>Deepwater Champion</v>
          </cell>
          <cell r="C6">
            <v>0</v>
          </cell>
          <cell r="D6">
            <v>9</v>
          </cell>
          <cell r="E6">
            <v>31</v>
          </cell>
          <cell r="F6">
            <v>0</v>
          </cell>
          <cell r="G6">
            <v>0</v>
          </cell>
          <cell r="H6">
            <v>14</v>
          </cell>
          <cell r="I6">
            <v>0</v>
          </cell>
          <cell r="J6">
            <v>0</v>
          </cell>
          <cell r="K6">
            <v>0</v>
          </cell>
          <cell r="L6">
            <v>21</v>
          </cell>
          <cell r="M6">
            <v>0</v>
          </cell>
          <cell r="N6">
            <v>0</v>
          </cell>
          <cell r="O6">
            <v>0</v>
          </cell>
          <cell r="P6">
            <v>8</v>
          </cell>
          <cell r="Q6">
            <v>0</v>
          </cell>
          <cell r="R6">
            <v>0</v>
          </cell>
        </row>
        <row r="7">
          <cell r="B7" t="str">
            <v>Discoverer Inspiration</v>
          </cell>
          <cell r="C7">
            <v>21</v>
          </cell>
          <cell r="D7">
            <v>0</v>
          </cell>
          <cell r="E7">
            <v>0</v>
          </cell>
          <cell r="F7">
            <v>0</v>
          </cell>
          <cell r="G7">
            <v>17.9375</v>
          </cell>
          <cell r="H7">
            <v>0</v>
          </cell>
          <cell r="I7">
            <v>0</v>
          </cell>
          <cell r="J7">
            <v>0</v>
          </cell>
          <cell r="K7">
            <v>17.9375</v>
          </cell>
          <cell r="L7">
            <v>0</v>
          </cell>
          <cell r="M7">
            <v>0</v>
          </cell>
          <cell r="N7">
            <v>0</v>
          </cell>
          <cell r="O7">
            <v>17.9375</v>
          </cell>
          <cell r="P7">
            <v>0</v>
          </cell>
          <cell r="Q7">
            <v>0</v>
          </cell>
          <cell r="R7">
            <v>0</v>
          </cell>
        </row>
        <row r="8">
          <cell r="B8" t="str">
            <v>Deepwater Asgard</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row>
        <row r="9">
          <cell r="B9" t="str">
            <v>Discoverer India</v>
          </cell>
          <cell r="C9">
            <v>0</v>
          </cell>
          <cell r="D9">
            <v>60</v>
          </cell>
          <cell r="E9">
            <v>0</v>
          </cell>
          <cell r="F9">
            <v>0</v>
          </cell>
          <cell r="G9">
            <v>0</v>
          </cell>
          <cell r="H9">
            <v>40</v>
          </cell>
          <cell r="I9">
            <v>0</v>
          </cell>
          <cell r="J9">
            <v>0</v>
          </cell>
          <cell r="K9">
            <v>0</v>
          </cell>
          <cell r="L9">
            <v>30</v>
          </cell>
          <cell r="M9">
            <v>0</v>
          </cell>
          <cell r="N9">
            <v>0</v>
          </cell>
          <cell r="O9">
            <v>0</v>
          </cell>
          <cell r="P9">
            <v>30</v>
          </cell>
          <cell r="Q9">
            <v>0</v>
          </cell>
          <cell r="R9">
            <v>0</v>
          </cell>
        </row>
        <row r="10">
          <cell r="B10" t="str">
            <v>Deepwater Frontier</v>
          </cell>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row>
        <row r="11">
          <cell r="B11" t="str">
            <v>Discoverer Spirit</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row>
        <row r="12">
          <cell r="B12" t="str">
            <v>Discoverer Enterprise</v>
          </cell>
          <cell r="C12">
            <v>0</v>
          </cell>
          <cell r="D12">
            <v>0</v>
          </cell>
          <cell r="E12">
            <v>0</v>
          </cell>
          <cell r="F12">
            <v>0</v>
          </cell>
          <cell r="G12">
            <v>0</v>
          </cell>
          <cell r="H12">
            <v>0</v>
          </cell>
          <cell r="I12">
            <v>0</v>
          </cell>
          <cell r="J12">
            <v>0</v>
          </cell>
          <cell r="K12">
            <v>0</v>
          </cell>
          <cell r="L12">
            <v>0</v>
          </cell>
          <cell r="M12">
            <v>0</v>
          </cell>
          <cell r="N12">
            <v>61</v>
          </cell>
          <cell r="O12">
            <v>0</v>
          </cell>
          <cell r="P12">
            <v>0</v>
          </cell>
          <cell r="Q12">
            <v>0</v>
          </cell>
          <cell r="R12">
            <v>0</v>
          </cell>
        </row>
        <row r="13">
          <cell r="B13" t="str">
            <v>Discoverer Deep Seas</v>
          </cell>
          <cell r="C13">
            <v>0</v>
          </cell>
          <cell r="D13">
            <v>91</v>
          </cell>
          <cell r="E13">
            <v>0</v>
          </cell>
          <cell r="F13">
            <v>0</v>
          </cell>
          <cell r="G13">
            <v>0</v>
          </cell>
          <cell r="H13">
            <v>21</v>
          </cell>
          <cell r="I13">
            <v>51</v>
          </cell>
          <cell r="J13">
            <v>0</v>
          </cell>
          <cell r="K13">
            <v>0</v>
          </cell>
          <cell r="L13">
            <v>32</v>
          </cell>
          <cell r="M13">
            <v>29</v>
          </cell>
          <cell r="N13">
            <v>0</v>
          </cell>
          <cell r="O13">
            <v>0</v>
          </cell>
          <cell r="P13">
            <v>32</v>
          </cell>
          <cell r="Q13">
            <v>29</v>
          </cell>
          <cell r="R13">
            <v>0</v>
          </cell>
        </row>
        <row r="14">
          <cell r="B14" t="str">
            <v>GSF C.R. Luigs</v>
          </cell>
          <cell r="C14">
            <v>0</v>
          </cell>
          <cell r="D14">
            <v>0</v>
          </cell>
          <cell r="E14">
            <v>0</v>
          </cell>
          <cell r="F14">
            <v>0</v>
          </cell>
          <cell r="G14">
            <v>29</v>
          </cell>
          <cell r="H14">
            <v>0</v>
          </cell>
          <cell r="I14">
            <v>0</v>
          </cell>
          <cell r="J14">
            <v>0</v>
          </cell>
          <cell r="K14">
            <v>29</v>
          </cell>
          <cell r="L14">
            <v>0</v>
          </cell>
          <cell r="M14">
            <v>0</v>
          </cell>
          <cell r="N14">
            <v>0</v>
          </cell>
          <cell r="O14">
            <v>29</v>
          </cell>
          <cell r="P14">
            <v>0</v>
          </cell>
          <cell r="Q14">
            <v>0</v>
          </cell>
          <cell r="R14">
            <v>0</v>
          </cell>
        </row>
        <row r="15">
          <cell r="B15" t="str">
            <v>Discoverer Luanda</v>
          </cell>
          <cell r="C15">
            <v>27</v>
          </cell>
          <cell r="D15">
            <v>1</v>
          </cell>
          <cell r="E15">
            <v>0</v>
          </cell>
          <cell r="F15">
            <v>0</v>
          </cell>
          <cell r="G15">
            <v>0</v>
          </cell>
          <cell r="H15">
            <v>14</v>
          </cell>
          <cell r="I15">
            <v>0</v>
          </cell>
          <cell r="J15">
            <v>0</v>
          </cell>
          <cell r="K15">
            <v>0</v>
          </cell>
          <cell r="L15">
            <v>0</v>
          </cell>
          <cell r="M15">
            <v>0</v>
          </cell>
          <cell r="N15">
            <v>0</v>
          </cell>
          <cell r="O15">
            <v>0</v>
          </cell>
          <cell r="P15">
            <v>0</v>
          </cell>
          <cell r="Q15">
            <v>0</v>
          </cell>
          <cell r="R15">
            <v>0</v>
          </cell>
        </row>
        <row r="16">
          <cell r="B16" t="str">
            <v>GSF Development Driller I</v>
          </cell>
          <cell r="C16">
            <v>5</v>
          </cell>
          <cell r="D16">
            <v>9</v>
          </cell>
          <cell r="E16">
            <v>0</v>
          </cell>
          <cell r="F16">
            <v>0</v>
          </cell>
          <cell r="G16">
            <v>90</v>
          </cell>
          <cell r="H16">
            <v>47</v>
          </cell>
          <cell r="I16">
            <v>0</v>
          </cell>
          <cell r="J16">
            <v>0</v>
          </cell>
          <cell r="K16">
            <v>90</v>
          </cell>
          <cell r="L16">
            <v>31</v>
          </cell>
          <cell r="M16">
            <v>0</v>
          </cell>
          <cell r="N16">
            <v>0</v>
          </cell>
          <cell r="O16">
            <v>90</v>
          </cell>
          <cell r="P16">
            <v>31</v>
          </cell>
          <cell r="Q16">
            <v>0</v>
          </cell>
          <cell r="R16">
            <v>0</v>
          </cell>
        </row>
        <row r="17">
          <cell r="B17" t="str">
            <v>Dhirubhai Deepwater KG1</v>
          </cell>
          <cell r="C17">
            <v>0</v>
          </cell>
          <cell r="D17">
            <v>30</v>
          </cell>
          <cell r="E17">
            <v>0</v>
          </cell>
          <cell r="F17">
            <v>0</v>
          </cell>
          <cell r="G17">
            <v>4.520833333333333</v>
          </cell>
          <cell r="H17">
            <v>0</v>
          </cell>
          <cell r="I17">
            <v>0</v>
          </cell>
          <cell r="J17">
            <v>0</v>
          </cell>
          <cell r="K17">
            <v>4.520833333333333</v>
          </cell>
          <cell r="L17">
            <v>0</v>
          </cell>
          <cell r="M17">
            <v>0</v>
          </cell>
          <cell r="N17">
            <v>0</v>
          </cell>
          <cell r="O17">
            <v>4.520833333333333</v>
          </cell>
          <cell r="P17">
            <v>0</v>
          </cell>
          <cell r="Q17">
            <v>0</v>
          </cell>
          <cell r="R17">
            <v>0</v>
          </cell>
        </row>
        <row r="18">
          <cell r="B18" t="str">
            <v>Dhirubhai Deepwater KG2</v>
          </cell>
          <cell r="C18">
            <v>24</v>
          </cell>
          <cell r="D18">
            <v>44</v>
          </cell>
          <cell r="E18">
            <v>0</v>
          </cell>
          <cell r="F18">
            <v>0</v>
          </cell>
          <cell r="G18">
            <v>13.427083333333334</v>
          </cell>
          <cell r="H18">
            <v>0</v>
          </cell>
          <cell r="I18">
            <v>55</v>
          </cell>
          <cell r="J18">
            <v>13</v>
          </cell>
          <cell r="K18">
            <v>13.427083333333334</v>
          </cell>
          <cell r="L18">
            <v>0</v>
          </cell>
          <cell r="M18">
            <v>15</v>
          </cell>
          <cell r="N18">
            <v>0</v>
          </cell>
          <cell r="O18">
            <v>13.427083333333334</v>
          </cell>
          <cell r="P18">
            <v>0</v>
          </cell>
          <cell r="Q18">
            <v>0</v>
          </cell>
          <cell r="R18">
            <v>0</v>
          </cell>
        </row>
        <row r="19">
          <cell r="B19" t="str">
            <v>GSF Jack Ryan</v>
          </cell>
          <cell r="C19">
            <v>0</v>
          </cell>
          <cell r="D19">
            <v>0</v>
          </cell>
          <cell r="E19">
            <v>82</v>
          </cell>
          <cell r="F19">
            <v>42</v>
          </cell>
          <cell r="G19">
            <v>0</v>
          </cell>
          <cell r="H19">
            <v>0</v>
          </cell>
          <cell r="I19">
            <v>0</v>
          </cell>
          <cell r="J19">
            <v>0</v>
          </cell>
          <cell r="K19">
            <v>0</v>
          </cell>
          <cell r="L19">
            <v>0</v>
          </cell>
          <cell r="M19">
            <v>0</v>
          </cell>
          <cell r="N19">
            <v>0</v>
          </cell>
          <cell r="O19">
            <v>0</v>
          </cell>
          <cell r="P19">
            <v>0</v>
          </cell>
          <cell r="Q19">
            <v>0</v>
          </cell>
          <cell r="R19">
            <v>0</v>
          </cell>
        </row>
        <row r="20">
          <cell r="B20" t="str">
            <v>GSF Explorer</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B21" t="str">
            <v>Cajun Express</v>
          </cell>
          <cell r="C21">
            <v>0</v>
          </cell>
          <cell r="D21">
            <v>0</v>
          </cell>
          <cell r="E21">
            <v>0</v>
          </cell>
          <cell r="F21">
            <v>0</v>
          </cell>
          <cell r="G21">
            <v>13.614583333333334</v>
          </cell>
          <cell r="H21">
            <v>0</v>
          </cell>
          <cell r="I21">
            <v>0</v>
          </cell>
          <cell r="J21">
            <v>0</v>
          </cell>
          <cell r="K21">
            <v>13.614583333333334</v>
          </cell>
          <cell r="L21">
            <v>0</v>
          </cell>
          <cell r="M21">
            <v>0</v>
          </cell>
          <cell r="N21">
            <v>0</v>
          </cell>
          <cell r="O21">
            <v>13.614583333333334</v>
          </cell>
          <cell r="P21">
            <v>0</v>
          </cell>
          <cell r="Q21">
            <v>0</v>
          </cell>
          <cell r="R21">
            <v>0</v>
          </cell>
        </row>
        <row r="22">
          <cell r="B22" t="str">
            <v>Deepwater Pathfinder</v>
          </cell>
          <cell r="C22">
            <v>0</v>
          </cell>
          <cell r="D22">
            <v>30</v>
          </cell>
          <cell r="E22">
            <v>0</v>
          </cell>
          <cell r="F22">
            <v>0</v>
          </cell>
          <cell r="G22">
            <v>0</v>
          </cell>
          <cell r="H22">
            <v>0</v>
          </cell>
          <cell r="I22">
            <v>0</v>
          </cell>
          <cell r="J22">
            <v>0</v>
          </cell>
          <cell r="K22">
            <v>0</v>
          </cell>
          <cell r="L22">
            <v>0</v>
          </cell>
          <cell r="M22">
            <v>0</v>
          </cell>
          <cell r="N22">
            <v>0</v>
          </cell>
          <cell r="O22">
            <v>0</v>
          </cell>
          <cell r="P22">
            <v>0</v>
          </cell>
          <cell r="Q22">
            <v>0</v>
          </cell>
          <cell r="R22">
            <v>0</v>
          </cell>
        </row>
        <row r="23">
          <cell r="B23" t="str">
            <v>Deepwater Expedition</v>
          </cell>
          <cell r="C23">
            <v>0</v>
          </cell>
          <cell r="D23">
            <v>0</v>
          </cell>
          <cell r="E23">
            <v>60</v>
          </cell>
          <cell r="F23">
            <v>0</v>
          </cell>
          <cell r="G23">
            <v>0</v>
          </cell>
          <cell r="H23">
            <v>0</v>
          </cell>
          <cell r="I23">
            <v>0</v>
          </cell>
          <cell r="J23">
            <v>0</v>
          </cell>
          <cell r="K23">
            <v>0</v>
          </cell>
          <cell r="L23">
            <v>0</v>
          </cell>
          <cell r="M23">
            <v>0</v>
          </cell>
          <cell r="N23">
            <v>0</v>
          </cell>
          <cell r="O23">
            <v>0</v>
          </cell>
          <cell r="P23">
            <v>0</v>
          </cell>
          <cell r="Q23">
            <v>0</v>
          </cell>
          <cell r="R23">
            <v>0</v>
          </cell>
        </row>
        <row r="24">
          <cell r="B24" t="str">
            <v>Deepwater Nautilus</v>
          </cell>
          <cell r="C24">
            <v>43</v>
          </cell>
          <cell r="D24">
            <v>0</v>
          </cell>
          <cell r="E24">
            <v>0</v>
          </cell>
          <cell r="F24">
            <v>0</v>
          </cell>
          <cell r="G24">
            <v>0</v>
          </cell>
          <cell r="H24">
            <v>70</v>
          </cell>
          <cell r="I24">
            <v>64</v>
          </cell>
          <cell r="J24">
            <v>0</v>
          </cell>
          <cell r="K24">
            <v>0</v>
          </cell>
          <cell r="L24">
            <v>61</v>
          </cell>
          <cell r="M24">
            <v>71</v>
          </cell>
          <cell r="N24">
            <v>0</v>
          </cell>
          <cell r="O24">
            <v>0</v>
          </cell>
          <cell r="P24">
            <v>61</v>
          </cell>
          <cell r="Q24">
            <v>71</v>
          </cell>
          <cell r="R24">
            <v>0</v>
          </cell>
        </row>
        <row r="25">
          <cell r="B25" t="str">
            <v>Sedco Express</v>
          </cell>
          <cell r="C25">
            <v>0</v>
          </cell>
          <cell r="D25">
            <v>0</v>
          </cell>
          <cell r="E25">
            <v>0</v>
          </cell>
          <cell r="F25">
            <v>74</v>
          </cell>
          <cell r="G25">
            <v>0</v>
          </cell>
          <cell r="H25">
            <v>0</v>
          </cell>
          <cell r="I25">
            <v>0</v>
          </cell>
          <cell r="J25">
            <v>0</v>
          </cell>
          <cell r="K25">
            <v>0</v>
          </cell>
          <cell r="L25">
            <v>0</v>
          </cell>
          <cell r="M25">
            <v>80</v>
          </cell>
          <cell r="N25">
            <v>0</v>
          </cell>
          <cell r="O25">
            <v>0</v>
          </cell>
          <cell r="P25">
            <v>0</v>
          </cell>
          <cell r="Q25">
            <v>0</v>
          </cell>
          <cell r="R25">
            <v>0</v>
          </cell>
        </row>
        <row r="26">
          <cell r="B26" t="str">
            <v>Sedco Energy</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row>
        <row r="27">
          <cell r="B27" t="str">
            <v>Discoverer Seven Seas</v>
          </cell>
          <cell r="C27">
            <v>5</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row>
        <row r="28">
          <cell r="B28" t="str">
            <v>Sedco 702</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B29" t="str">
            <v>Jack Bates</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B30" t="str">
            <v>Deepwater Navigator</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row>
        <row r="31">
          <cell r="B31" t="str">
            <v>Sedco 706</v>
          </cell>
          <cell r="C31">
            <v>59</v>
          </cell>
          <cell r="D31">
            <v>1</v>
          </cell>
          <cell r="E31">
            <v>0</v>
          </cell>
          <cell r="F31">
            <v>0</v>
          </cell>
          <cell r="G31">
            <v>0</v>
          </cell>
          <cell r="H31">
            <v>60</v>
          </cell>
          <cell r="I31">
            <v>0</v>
          </cell>
          <cell r="J31">
            <v>0</v>
          </cell>
          <cell r="K31">
            <v>0</v>
          </cell>
          <cell r="L31">
            <v>21</v>
          </cell>
          <cell r="M31">
            <v>39</v>
          </cell>
          <cell r="N31">
            <v>0</v>
          </cell>
          <cell r="O31">
            <v>0</v>
          </cell>
          <cell r="P31">
            <v>21</v>
          </cell>
          <cell r="Q31">
            <v>39</v>
          </cell>
          <cell r="R31">
            <v>0</v>
          </cell>
        </row>
        <row r="32">
          <cell r="B32" t="str">
            <v>GSF Celtic Sea</v>
          </cell>
          <cell r="C32">
            <v>0</v>
          </cell>
          <cell r="D32">
            <v>0</v>
          </cell>
          <cell r="E32">
            <v>0</v>
          </cell>
          <cell r="F32">
            <v>0</v>
          </cell>
          <cell r="G32">
            <v>0</v>
          </cell>
          <cell r="H32">
            <v>0</v>
          </cell>
          <cell r="I32">
            <v>0</v>
          </cell>
          <cell r="J32">
            <v>0</v>
          </cell>
          <cell r="K32">
            <v>0</v>
          </cell>
          <cell r="L32">
            <v>61</v>
          </cell>
          <cell r="M32">
            <v>2</v>
          </cell>
          <cell r="N32">
            <v>0</v>
          </cell>
          <cell r="O32">
            <v>0</v>
          </cell>
          <cell r="P32">
            <v>0</v>
          </cell>
          <cell r="Q32">
            <v>0</v>
          </cell>
          <cell r="R32">
            <v>0</v>
          </cell>
        </row>
        <row r="33">
          <cell r="B33" t="str">
            <v>Sedco 707</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row>
        <row r="34">
          <cell r="B34" t="str">
            <v>M.G. Hulme, Jr.</v>
          </cell>
          <cell r="C34">
            <v>16</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B35" t="str">
            <v>Transocean Marianas</v>
          </cell>
          <cell r="C35">
            <v>0</v>
          </cell>
          <cell r="D35">
            <v>0</v>
          </cell>
          <cell r="E35">
            <v>0</v>
          </cell>
          <cell r="F35">
            <v>0</v>
          </cell>
          <cell r="G35">
            <v>0</v>
          </cell>
          <cell r="H35">
            <v>0</v>
          </cell>
          <cell r="I35">
            <v>0</v>
          </cell>
          <cell r="J35">
            <v>0</v>
          </cell>
          <cell r="K35">
            <v>0</v>
          </cell>
          <cell r="L35">
            <v>2</v>
          </cell>
          <cell r="M35">
            <v>0</v>
          </cell>
          <cell r="N35">
            <v>0</v>
          </cell>
          <cell r="O35">
            <v>0</v>
          </cell>
          <cell r="P35">
            <v>0</v>
          </cell>
          <cell r="Q35">
            <v>0</v>
          </cell>
          <cell r="R35">
            <v>0</v>
          </cell>
        </row>
        <row r="36">
          <cell r="B36" t="str">
            <v>Henry Goodrich</v>
          </cell>
          <cell r="C36">
            <v>14</v>
          </cell>
          <cell r="D36">
            <v>91</v>
          </cell>
          <cell r="E36">
            <v>9</v>
          </cell>
          <cell r="F36">
            <v>0</v>
          </cell>
          <cell r="G36">
            <v>0</v>
          </cell>
          <cell r="H36">
            <v>0</v>
          </cell>
          <cell r="I36">
            <v>0</v>
          </cell>
          <cell r="J36">
            <v>0</v>
          </cell>
          <cell r="K36">
            <v>0</v>
          </cell>
          <cell r="L36">
            <v>61</v>
          </cell>
          <cell r="M36">
            <v>21</v>
          </cell>
          <cell r="N36">
            <v>0</v>
          </cell>
          <cell r="O36">
            <v>0</v>
          </cell>
          <cell r="P36">
            <v>0</v>
          </cell>
          <cell r="Q36">
            <v>0</v>
          </cell>
          <cell r="R36">
            <v>0</v>
          </cell>
        </row>
        <row r="37">
          <cell r="B37" t="str">
            <v>Paul B. Loyd, Jr.</v>
          </cell>
          <cell r="C37">
            <v>0</v>
          </cell>
          <cell r="D37">
            <v>0</v>
          </cell>
          <cell r="E37">
            <v>43</v>
          </cell>
          <cell r="F37">
            <v>57</v>
          </cell>
          <cell r="G37">
            <v>0</v>
          </cell>
          <cell r="H37">
            <v>0</v>
          </cell>
          <cell r="I37">
            <v>43</v>
          </cell>
          <cell r="J37">
            <v>50</v>
          </cell>
          <cell r="K37">
            <v>0</v>
          </cell>
          <cell r="L37">
            <v>0</v>
          </cell>
          <cell r="M37">
            <v>30</v>
          </cell>
          <cell r="N37">
            <v>63</v>
          </cell>
          <cell r="O37">
            <v>0</v>
          </cell>
          <cell r="P37">
            <v>0</v>
          </cell>
          <cell r="Q37">
            <v>30</v>
          </cell>
          <cell r="R37">
            <v>63</v>
          </cell>
        </row>
        <row r="38">
          <cell r="B38" t="str">
            <v>Transocean Barents</v>
          </cell>
          <cell r="C38">
            <v>0</v>
          </cell>
          <cell r="D38">
            <v>0</v>
          </cell>
          <cell r="E38">
            <v>0</v>
          </cell>
          <cell r="F38">
            <v>0</v>
          </cell>
          <cell r="G38">
            <v>0</v>
          </cell>
          <cell r="H38">
            <v>0</v>
          </cell>
          <cell r="I38">
            <v>0</v>
          </cell>
          <cell r="J38">
            <v>0</v>
          </cell>
          <cell r="K38">
            <v>0</v>
          </cell>
          <cell r="L38">
            <v>0</v>
          </cell>
          <cell r="M38">
            <v>7</v>
          </cell>
          <cell r="N38">
            <v>92</v>
          </cell>
          <cell r="O38">
            <v>0</v>
          </cell>
          <cell r="P38">
            <v>0</v>
          </cell>
          <cell r="Q38">
            <v>0</v>
          </cell>
          <cell r="R38">
            <v>0</v>
          </cell>
        </row>
        <row r="39">
          <cell r="B39" t="str">
            <v>Transocean Spitsbergen</v>
          </cell>
          <cell r="C39">
            <v>55</v>
          </cell>
          <cell r="D39">
            <v>0</v>
          </cell>
          <cell r="E39">
            <v>0</v>
          </cell>
          <cell r="F39">
            <v>0</v>
          </cell>
          <cell r="G39">
            <v>42.385416666666664</v>
          </cell>
          <cell r="H39">
            <v>0</v>
          </cell>
          <cell r="I39">
            <v>0</v>
          </cell>
          <cell r="J39">
            <v>0</v>
          </cell>
          <cell r="K39">
            <v>42.385416666666664</v>
          </cell>
          <cell r="L39">
            <v>0</v>
          </cell>
          <cell r="M39">
            <v>0</v>
          </cell>
          <cell r="N39">
            <v>0</v>
          </cell>
          <cell r="O39">
            <v>42.385416666666664</v>
          </cell>
          <cell r="P39">
            <v>0</v>
          </cell>
          <cell r="Q39">
            <v>0</v>
          </cell>
          <cell r="R39">
            <v>0</v>
          </cell>
        </row>
        <row r="40">
          <cell r="B40" t="str">
            <v>Transocean Leader</v>
          </cell>
          <cell r="C40">
            <v>0</v>
          </cell>
          <cell r="D40">
            <v>0</v>
          </cell>
          <cell r="E40">
            <v>0</v>
          </cell>
          <cell r="F40">
            <v>0</v>
          </cell>
          <cell r="G40">
            <v>45.979166666666664</v>
          </cell>
          <cell r="H40">
            <v>0</v>
          </cell>
          <cell r="I40">
            <v>0</v>
          </cell>
          <cell r="J40">
            <v>0</v>
          </cell>
          <cell r="K40">
            <v>45.979166666666664</v>
          </cell>
          <cell r="L40">
            <v>17</v>
          </cell>
          <cell r="M40">
            <v>0</v>
          </cell>
          <cell r="N40">
            <v>0</v>
          </cell>
          <cell r="O40">
            <v>45.979166666666664</v>
          </cell>
          <cell r="P40">
            <v>0</v>
          </cell>
          <cell r="Q40">
            <v>0</v>
          </cell>
          <cell r="R40">
            <v>0</v>
          </cell>
        </row>
        <row r="41">
          <cell r="B41" t="str">
            <v>Polar Pioneer</v>
          </cell>
          <cell r="C41">
            <v>28</v>
          </cell>
          <cell r="D41">
            <v>48</v>
          </cell>
          <cell r="E41">
            <v>0</v>
          </cell>
          <cell r="F41">
            <v>67</v>
          </cell>
          <cell r="G41">
            <v>0</v>
          </cell>
          <cell r="H41">
            <v>0</v>
          </cell>
          <cell r="I41">
            <v>0</v>
          </cell>
          <cell r="J41">
            <v>0</v>
          </cell>
          <cell r="K41">
            <v>0</v>
          </cell>
          <cell r="L41">
            <v>39</v>
          </cell>
          <cell r="M41">
            <v>9</v>
          </cell>
          <cell r="N41">
            <v>67</v>
          </cell>
          <cell r="O41">
            <v>0</v>
          </cell>
          <cell r="P41">
            <v>0</v>
          </cell>
          <cell r="Q41">
            <v>0</v>
          </cell>
          <cell r="R41">
            <v>0</v>
          </cell>
        </row>
        <row r="42">
          <cell r="B42" t="str">
            <v>Actinia</v>
          </cell>
          <cell r="C42">
            <v>0</v>
          </cell>
          <cell r="D42">
            <v>0</v>
          </cell>
          <cell r="E42">
            <v>11</v>
          </cell>
          <cell r="F42">
            <v>10</v>
          </cell>
          <cell r="G42">
            <v>0</v>
          </cell>
          <cell r="H42">
            <v>0</v>
          </cell>
          <cell r="I42">
            <v>7</v>
          </cell>
          <cell r="J42">
            <v>0</v>
          </cell>
          <cell r="K42">
            <v>0</v>
          </cell>
          <cell r="L42">
            <v>0</v>
          </cell>
          <cell r="M42">
            <v>0</v>
          </cell>
          <cell r="N42">
            <v>7</v>
          </cell>
          <cell r="O42">
            <v>0</v>
          </cell>
          <cell r="P42">
            <v>0</v>
          </cell>
          <cell r="Q42">
            <v>0</v>
          </cell>
          <cell r="R42">
            <v>7</v>
          </cell>
        </row>
        <row r="43">
          <cell r="B43" t="str">
            <v>Transocean Legend</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row>
        <row r="44">
          <cell r="B44" t="str">
            <v>GSF Grand Banks</v>
          </cell>
          <cell r="C44">
            <v>0</v>
          </cell>
          <cell r="D44">
            <v>0</v>
          </cell>
          <cell r="E44">
            <v>0</v>
          </cell>
          <cell r="F44">
            <v>0</v>
          </cell>
          <cell r="G44">
            <v>0</v>
          </cell>
          <cell r="H44">
            <v>0</v>
          </cell>
          <cell r="I44">
            <v>0</v>
          </cell>
          <cell r="J44">
            <v>0</v>
          </cell>
          <cell r="K44">
            <v>0</v>
          </cell>
          <cell r="L44">
            <v>0</v>
          </cell>
          <cell r="M44">
            <v>11</v>
          </cell>
          <cell r="N44">
            <v>10</v>
          </cell>
          <cell r="O44">
            <v>0</v>
          </cell>
          <cell r="P44">
            <v>0</v>
          </cell>
          <cell r="Q44">
            <v>0</v>
          </cell>
          <cell r="R44">
            <v>0</v>
          </cell>
        </row>
        <row r="45">
          <cell r="B45" t="str">
            <v>GSF Rig 135</v>
          </cell>
          <cell r="C45">
            <v>0</v>
          </cell>
          <cell r="D45">
            <v>0</v>
          </cell>
          <cell r="E45">
            <v>0</v>
          </cell>
          <cell r="F45">
            <v>7</v>
          </cell>
          <cell r="G45">
            <v>0</v>
          </cell>
          <cell r="H45">
            <v>0</v>
          </cell>
          <cell r="I45">
            <v>0</v>
          </cell>
          <cell r="J45">
            <v>0</v>
          </cell>
          <cell r="K45">
            <v>0</v>
          </cell>
          <cell r="L45">
            <v>0</v>
          </cell>
          <cell r="M45">
            <v>29</v>
          </cell>
          <cell r="N45">
            <v>51</v>
          </cell>
          <cell r="O45">
            <v>0</v>
          </cell>
          <cell r="P45">
            <v>0</v>
          </cell>
          <cell r="Q45">
            <v>0</v>
          </cell>
          <cell r="R45">
            <v>0</v>
          </cell>
        </row>
        <row r="46">
          <cell r="B46" t="str">
            <v>GSF Rig 140</v>
          </cell>
          <cell r="C46">
            <v>6</v>
          </cell>
          <cell r="D46">
            <v>0</v>
          </cell>
          <cell r="E46">
            <v>0</v>
          </cell>
          <cell r="F46">
            <v>0</v>
          </cell>
          <cell r="G46">
            <v>0</v>
          </cell>
          <cell r="H46">
            <v>0</v>
          </cell>
          <cell r="I46">
            <v>0</v>
          </cell>
          <cell r="J46">
            <v>0</v>
          </cell>
          <cell r="K46">
            <v>0</v>
          </cell>
          <cell r="L46">
            <v>6</v>
          </cell>
          <cell r="M46">
            <v>0</v>
          </cell>
          <cell r="N46">
            <v>51</v>
          </cell>
          <cell r="O46">
            <v>0</v>
          </cell>
          <cell r="P46">
            <v>0</v>
          </cell>
          <cell r="Q46">
            <v>0</v>
          </cell>
          <cell r="R46">
            <v>0</v>
          </cell>
        </row>
        <row r="47">
          <cell r="B47" t="str">
            <v>Sedco 712</v>
          </cell>
          <cell r="C47">
            <v>0</v>
          </cell>
          <cell r="D47">
            <v>0</v>
          </cell>
          <cell r="E47">
            <v>0</v>
          </cell>
          <cell r="F47">
            <v>0</v>
          </cell>
          <cell r="G47">
            <v>25.427083333333332</v>
          </cell>
          <cell r="H47">
            <v>0</v>
          </cell>
          <cell r="I47">
            <v>0</v>
          </cell>
          <cell r="J47">
            <v>0</v>
          </cell>
          <cell r="K47">
            <v>25.427083333333332</v>
          </cell>
          <cell r="L47">
            <v>0</v>
          </cell>
          <cell r="M47">
            <v>0</v>
          </cell>
          <cell r="N47">
            <v>0</v>
          </cell>
          <cell r="O47">
            <v>25.427083333333332</v>
          </cell>
          <cell r="P47">
            <v>0</v>
          </cell>
          <cell r="Q47">
            <v>0</v>
          </cell>
          <cell r="R47">
            <v>0</v>
          </cell>
        </row>
        <row r="48">
          <cell r="B48" t="str">
            <v>Transocean Driller</v>
          </cell>
          <cell r="C48">
            <v>0</v>
          </cell>
          <cell r="D48">
            <v>0</v>
          </cell>
          <cell r="E48">
            <v>2</v>
          </cell>
          <cell r="F48">
            <v>0</v>
          </cell>
          <cell r="G48">
            <v>0</v>
          </cell>
          <cell r="H48">
            <v>0</v>
          </cell>
          <cell r="I48">
            <v>0</v>
          </cell>
          <cell r="J48">
            <v>0</v>
          </cell>
          <cell r="K48">
            <v>0</v>
          </cell>
          <cell r="L48">
            <v>0</v>
          </cell>
          <cell r="M48">
            <v>0</v>
          </cell>
          <cell r="N48">
            <v>0</v>
          </cell>
          <cell r="O48">
            <v>0</v>
          </cell>
          <cell r="P48">
            <v>0</v>
          </cell>
          <cell r="Q48">
            <v>0</v>
          </cell>
          <cell r="R48">
            <v>0</v>
          </cell>
        </row>
        <row r="49">
          <cell r="B49" t="str">
            <v>Transocean Searcher</v>
          </cell>
          <cell r="C49">
            <v>0</v>
          </cell>
          <cell r="D49">
            <v>0</v>
          </cell>
          <cell r="E49">
            <v>0</v>
          </cell>
          <cell r="F49">
            <v>0</v>
          </cell>
          <cell r="G49">
            <v>0</v>
          </cell>
          <cell r="H49">
            <v>0</v>
          </cell>
          <cell r="I49">
            <v>0</v>
          </cell>
          <cell r="J49">
            <v>0</v>
          </cell>
          <cell r="K49">
            <v>0</v>
          </cell>
          <cell r="L49">
            <v>46</v>
          </cell>
          <cell r="M49">
            <v>0</v>
          </cell>
          <cell r="N49">
            <v>0</v>
          </cell>
          <cell r="O49">
            <v>0</v>
          </cell>
          <cell r="P49">
            <v>0</v>
          </cell>
          <cell r="Q49">
            <v>0</v>
          </cell>
          <cell r="R49">
            <v>0</v>
          </cell>
        </row>
        <row r="50">
          <cell r="B50" t="str">
            <v>GSF Arctic III</v>
          </cell>
          <cell r="C50">
            <v>59</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row>
        <row r="51">
          <cell r="B51" t="str">
            <v>GSF Galaxy III</v>
          </cell>
          <cell r="C51">
            <v>66</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row>
        <row r="52">
          <cell r="B52" t="str">
            <v>Transocean Honor</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row>
        <row r="53">
          <cell r="B53" t="str">
            <v>Transocean Siam Driller</v>
          </cell>
          <cell r="C53">
            <v>0</v>
          </cell>
          <cell r="D53">
            <v>0</v>
          </cell>
          <cell r="E53">
            <v>0</v>
          </cell>
          <cell r="F53">
            <v>0</v>
          </cell>
          <cell r="G53">
            <v>0</v>
          </cell>
          <cell r="H53">
            <v>8</v>
          </cell>
          <cell r="I53">
            <v>0</v>
          </cell>
          <cell r="J53">
            <v>0</v>
          </cell>
          <cell r="K53">
            <v>0</v>
          </cell>
          <cell r="L53">
            <v>3</v>
          </cell>
          <cell r="M53">
            <v>0</v>
          </cell>
          <cell r="N53">
            <v>0</v>
          </cell>
          <cell r="O53">
            <v>0</v>
          </cell>
          <cell r="P53">
            <v>3</v>
          </cell>
          <cell r="Q53">
            <v>0</v>
          </cell>
          <cell r="R53">
            <v>0</v>
          </cell>
        </row>
        <row r="54">
          <cell r="B54" t="str">
            <v>Transocean Andaman</v>
          </cell>
          <cell r="C54">
            <v>0</v>
          </cell>
          <cell r="D54">
            <v>0</v>
          </cell>
          <cell r="E54">
            <v>0</v>
          </cell>
          <cell r="F54">
            <v>0</v>
          </cell>
          <cell r="G54">
            <v>0</v>
          </cell>
          <cell r="H54">
            <v>0</v>
          </cell>
          <cell r="I54">
            <v>5</v>
          </cell>
          <cell r="J54">
            <v>3</v>
          </cell>
          <cell r="K54">
            <v>0</v>
          </cell>
          <cell r="L54">
            <v>0</v>
          </cell>
          <cell r="M54">
            <v>5</v>
          </cell>
          <cell r="N54">
            <v>3</v>
          </cell>
          <cell r="O54">
            <v>0</v>
          </cell>
          <cell r="P54">
            <v>0</v>
          </cell>
          <cell r="Q54">
            <v>5</v>
          </cell>
          <cell r="R54">
            <v>3</v>
          </cell>
        </row>
      </sheetData>
      <sheetData sheetId="2">
        <row r="4">
          <cell r="B4" t="str">
            <v>Deepwater Discovery</v>
          </cell>
          <cell r="C4">
            <v>0</v>
          </cell>
          <cell r="D4">
            <v>7</v>
          </cell>
          <cell r="E4">
            <v>92</v>
          </cell>
          <cell r="F4">
            <v>18</v>
          </cell>
          <cell r="G4">
            <v>0</v>
          </cell>
          <cell r="H4">
            <v>0</v>
          </cell>
          <cell r="I4">
            <v>0</v>
          </cell>
          <cell r="J4">
            <v>0</v>
          </cell>
          <cell r="K4">
            <v>0</v>
          </cell>
          <cell r="L4">
            <v>0</v>
          </cell>
          <cell r="M4">
            <v>0</v>
          </cell>
          <cell r="N4">
            <v>0</v>
          </cell>
          <cell r="O4">
            <v>0</v>
          </cell>
          <cell r="P4">
            <v>0</v>
          </cell>
          <cell r="Q4">
            <v>0</v>
          </cell>
          <cell r="R4">
            <v>0</v>
          </cell>
        </row>
        <row r="5">
          <cell r="B5" t="str">
            <v>Discoverer Americas</v>
          </cell>
          <cell r="C5">
            <v>0</v>
          </cell>
          <cell r="D5">
            <v>0</v>
          </cell>
          <cell r="E5">
            <v>0</v>
          </cell>
          <cell r="F5">
            <v>0</v>
          </cell>
          <cell r="G5">
            <v>0</v>
          </cell>
          <cell r="H5">
            <v>0</v>
          </cell>
          <cell r="I5">
            <v>0</v>
          </cell>
          <cell r="J5">
            <v>0</v>
          </cell>
          <cell r="K5">
            <v>0</v>
          </cell>
          <cell r="L5">
            <v>0</v>
          </cell>
          <cell r="M5">
            <v>0</v>
          </cell>
          <cell r="N5">
            <v>0</v>
          </cell>
          <cell r="O5">
            <v>0</v>
          </cell>
          <cell r="P5">
            <v>0</v>
          </cell>
          <cell r="Q5">
            <v>0</v>
          </cell>
          <cell r="R5">
            <v>0</v>
          </cell>
        </row>
        <row r="6">
          <cell r="B6" t="str">
            <v>Deepwater Champion</v>
          </cell>
          <cell r="C6">
            <v>0</v>
          </cell>
          <cell r="D6">
            <v>9</v>
          </cell>
          <cell r="E6">
            <v>31</v>
          </cell>
          <cell r="F6">
            <v>0</v>
          </cell>
          <cell r="G6">
            <v>0</v>
          </cell>
          <cell r="H6">
            <v>0</v>
          </cell>
          <cell r="I6">
            <v>0</v>
          </cell>
          <cell r="J6">
            <v>0</v>
          </cell>
          <cell r="K6">
            <v>0</v>
          </cell>
          <cell r="L6">
            <v>0</v>
          </cell>
          <cell r="M6">
            <v>0</v>
          </cell>
          <cell r="N6">
            <v>0</v>
          </cell>
          <cell r="O6">
            <v>0</v>
          </cell>
          <cell r="P6">
            <v>0</v>
          </cell>
          <cell r="Q6">
            <v>0</v>
          </cell>
          <cell r="R6">
            <v>0</v>
          </cell>
        </row>
        <row r="7">
          <cell r="B7" t="str">
            <v>Discoverer Inspiration</v>
          </cell>
          <cell r="C7">
            <v>21</v>
          </cell>
          <cell r="D7">
            <v>0</v>
          </cell>
          <cell r="E7">
            <v>0</v>
          </cell>
          <cell r="F7">
            <v>0</v>
          </cell>
          <cell r="G7">
            <v>0</v>
          </cell>
          <cell r="H7">
            <v>0</v>
          </cell>
          <cell r="I7">
            <v>0</v>
          </cell>
          <cell r="J7">
            <v>0</v>
          </cell>
          <cell r="K7">
            <v>0</v>
          </cell>
          <cell r="L7">
            <v>0</v>
          </cell>
          <cell r="M7">
            <v>0</v>
          </cell>
          <cell r="N7">
            <v>0</v>
          </cell>
          <cell r="O7">
            <v>0</v>
          </cell>
          <cell r="P7">
            <v>0</v>
          </cell>
          <cell r="Q7">
            <v>0</v>
          </cell>
          <cell r="R7">
            <v>0</v>
          </cell>
        </row>
        <row r="8">
          <cell r="B8" t="str">
            <v>Deepwater Asgard</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row>
        <row r="9">
          <cell r="B9" t="str">
            <v>Discoverer India</v>
          </cell>
          <cell r="C9">
            <v>0</v>
          </cell>
          <cell r="D9">
            <v>60</v>
          </cell>
          <cell r="E9">
            <v>0</v>
          </cell>
          <cell r="F9">
            <v>0</v>
          </cell>
          <cell r="G9">
            <v>0</v>
          </cell>
          <cell r="H9">
            <v>0</v>
          </cell>
          <cell r="I9">
            <v>0</v>
          </cell>
          <cell r="J9">
            <v>0</v>
          </cell>
          <cell r="K9">
            <v>0</v>
          </cell>
          <cell r="L9">
            <v>0</v>
          </cell>
          <cell r="M9">
            <v>0</v>
          </cell>
          <cell r="N9">
            <v>68</v>
          </cell>
          <cell r="O9">
            <v>0</v>
          </cell>
          <cell r="P9">
            <v>0</v>
          </cell>
          <cell r="Q9">
            <v>0</v>
          </cell>
          <cell r="R9">
            <v>0</v>
          </cell>
        </row>
        <row r="10">
          <cell r="B10" t="str">
            <v>Petrobras 10000</v>
          </cell>
          <cell r="C10">
            <v>0</v>
          </cell>
          <cell r="D10">
            <v>0</v>
          </cell>
          <cell r="E10">
            <v>0</v>
          </cell>
          <cell r="F10">
            <v>0</v>
          </cell>
          <cell r="G10">
            <v>0</v>
          </cell>
          <cell r="H10">
            <v>0</v>
          </cell>
          <cell r="I10">
            <v>0</v>
          </cell>
          <cell r="J10">
            <v>10</v>
          </cell>
          <cell r="K10">
            <v>0</v>
          </cell>
          <cell r="L10">
            <v>0</v>
          </cell>
          <cell r="M10">
            <v>0</v>
          </cell>
          <cell r="N10">
            <v>10</v>
          </cell>
          <cell r="O10">
            <v>0</v>
          </cell>
          <cell r="P10">
            <v>0</v>
          </cell>
          <cell r="Q10">
            <v>0</v>
          </cell>
          <cell r="R10">
            <v>10</v>
          </cell>
        </row>
        <row r="11">
          <cell r="B11" t="str">
            <v>Discoverer Spirit</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row>
        <row r="12">
          <cell r="B12" t="str">
            <v>Discoverer Enterprise</v>
          </cell>
          <cell r="C12">
            <v>0</v>
          </cell>
          <cell r="D12">
            <v>0</v>
          </cell>
          <cell r="E12">
            <v>0</v>
          </cell>
          <cell r="F12">
            <v>0</v>
          </cell>
          <cell r="G12">
            <v>0</v>
          </cell>
          <cell r="H12">
            <v>0</v>
          </cell>
          <cell r="I12">
            <v>0</v>
          </cell>
          <cell r="J12">
            <v>0</v>
          </cell>
          <cell r="K12">
            <v>0</v>
          </cell>
          <cell r="L12">
            <v>0</v>
          </cell>
          <cell r="M12">
            <v>90</v>
          </cell>
          <cell r="N12">
            <v>0</v>
          </cell>
          <cell r="O12">
            <v>0</v>
          </cell>
          <cell r="P12">
            <v>0</v>
          </cell>
          <cell r="Q12">
            <v>0</v>
          </cell>
          <cell r="R12">
            <v>0</v>
          </cell>
        </row>
        <row r="13">
          <cell r="B13" t="str">
            <v>Discoverer Deep Seas</v>
          </cell>
          <cell r="C13">
            <v>0</v>
          </cell>
          <cell r="D13">
            <v>91</v>
          </cell>
          <cell r="E13">
            <v>0</v>
          </cell>
          <cell r="F13">
            <v>0</v>
          </cell>
          <cell r="G13">
            <v>0</v>
          </cell>
          <cell r="H13">
            <v>0</v>
          </cell>
          <cell r="I13">
            <v>0</v>
          </cell>
          <cell r="J13">
            <v>0</v>
          </cell>
          <cell r="K13">
            <v>0</v>
          </cell>
          <cell r="L13">
            <v>0</v>
          </cell>
          <cell r="M13">
            <v>0</v>
          </cell>
          <cell r="N13">
            <v>0</v>
          </cell>
          <cell r="O13">
            <v>0</v>
          </cell>
          <cell r="P13">
            <v>0</v>
          </cell>
          <cell r="Q13">
            <v>0</v>
          </cell>
          <cell r="R13">
            <v>0</v>
          </cell>
        </row>
        <row r="14">
          <cell r="B14" t="str">
            <v>GSF C.R. Luigs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row>
        <row r="15">
          <cell r="B15" t="str">
            <v>Discoverer Luanda</v>
          </cell>
          <cell r="C15">
            <v>27</v>
          </cell>
          <cell r="D15">
            <v>1</v>
          </cell>
          <cell r="E15">
            <v>0</v>
          </cell>
          <cell r="F15">
            <v>0</v>
          </cell>
          <cell r="G15">
            <v>0</v>
          </cell>
          <cell r="H15">
            <v>0</v>
          </cell>
          <cell r="I15">
            <v>0</v>
          </cell>
          <cell r="J15">
            <v>0</v>
          </cell>
          <cell r="K15">
            <v>0</v>
          </cell>
          <cell r="L15">
            <v>0</v>
          </cell>
          <cell r="M15">
            <v>0</v>
          </cell>
          <cell r="N15">
            <v>0</v>
          </cell>
          <cell r="O15">
            <v>0</v>
          </cell>
          <cell r="P15">
            <v>0</v>
          </cell>
          <cell r="Q15">
            <v>0</v>
          </cell>
          <cell r="R15">
            <v>0</v>
          </cell>
        </row>
        <row r="16">
          <cell r="B16" t="str">
            <v>GSF Development Driller II</v>
          </cell>
          <cell r="C16">
            <v>5</v>
          </cell>
          <cell r="D16">
            <v>9</v>
          </cell>
          <cell r="E16">
            <v>0</v>
          </cell>
          <cell r="F16">
            <v>0</v>
          </cell>
          <cell r="G16">
            <v>0</v>
          </cell>
          <cell r="H16">
            <v>0</v>
          </cell>
          <cell r="I16">
            <v>0</v>
          </cell>
          <cell r="J16">
            <v>0</v>
          </cell>
          <cell r="K16">
            <v>0</v>
          </cell>
          <cell r="L16">
            <v>0</v>
          </cell>
          <cell r="M16">
            <v>0</v>
          </cell>
          <cell r="N16">
            <v>7</v>
          </cell>
          <cell r="O16">
            <v>0</v>
          </cell>
          <cell r="P16">
            <v>0</v>
          </cell>
          <cell r="Q16">
            <v>0</v>
          </cell>
          <cell r="R16">
            <v>0</v>
          </cell>
        </row>
        <row r="17">
          <cell r="B17" t="str">
            <v>Dhirubhai Deepwater KG1</v>
          </cell>
          <cell r="C17">
            <v>0</v>
          </cell>
          <cell r="D17">
            <v>30</v>
          </cell>
          <cell r="E17">
            <v>0</v>
          </cell>
          <cell r="F17">
            <v>0</v>
          </cell>
          <cell r="G17">
            <v>30</v>
          </cell>
          <cell r="H17">
            <v>0</v>
          </cell>
          <cell r="I17">
            <v>0</v>
          </cell>
          <cell r="J17">
            <v>0</v>
          </cell>
          <cell r="K17">
            <v>35</v>
          </cell>
          <cell r="L17">
            <v>0</v>
          </cell>
          <cell r="M17">
            <v>0</v>
          </cell>
          <cell r="N17">
            <v>0</v>
          </cell>
          <cell r="O17">
            <v>35</v>
          </cell>
          <cell r="P17">
            <v>0</v>
          </cell>
          <cell r="Q17">
            <v>0</v>
          </cell>
          <cell r="R17">
            <v>0</v>
          </cell>
        </row>
        <row r="18">
          <cell r="B18" t="str">
            <v>Dhirubhai Deepwater KG2</v>
          </cell>
          <cell r="C18">
            <v>24</v>
          </cell>
          <cell r="D18">
            <v>44</v>
          </cell>
          <cell r="E18">
            <v>0</v>
          </cell>
          <cell r="F18">
            <v>0</v>
          </cell>
          <cell r="G18">
            <v>0</v>
          </cell>
          <cell r="H18">
            <v>0</v>
          </cell>
          <cell r="I18">
            <v>0</v>
          </cell>
          <cell r="J18">
            <v>0</v>
          </cell>
          <cell r="K18">
            <v>85</v>
          </cell>
          <cell r="L18">
            <v>0</v>
          </cell>
          <cell r="M18">
            <v>0</v>
          </cell>
          <cell r="N18">
            <v>0</v>
          </cell>
          <cell r="O18">
            <v>0</v>
          </cell>
          <cell r="P18">
            <v>0</v>
          </cell>
          <cell r="Q18">
            <v>0</v>
          </cell>
          <cell r="R18">
            <v>0</v>
          </cell>
        </row>
        <row r="19">
          <cell r="B19" t="str">
            <v>GSF Jack Ryan</v>
          </cell>
          <cell r="C19">
            <v>0</v>
          </cell>
          <cell r="D19">
            <v>0</v>
          </cell>
          <cell r="E19">
            <v>82</v>
          </cell>
          <cell r="F19">
            <v>42</v>
          </cell>
          <cell r="G19">
            <v>0</v>
          </cell>
          <cell r="H19">
            <v>0</v>
          </cell>
          <cell r="I19">
            <v>0</v>
          </cell>
          <cell r="J19">
            <v>0</v>
          </cell>
          <cell r="K19">
            <v>0</v>
          </cell>
          <cell r="L19">
            <v>0</v>
          </cell>
          <cell r="M19">
            <v>0</v>
          </cell>
          <cell r="N19">
            <v>0</v>
          </cell>
          <cell r="O19">
            <v>0</v>
          </cell>
          <cell r="P19">
            <v>0</v>
          </cell>
          <cell r="Q19">
            <v>0</v>
          </cell>
          <cell r="R19">
            <v>0</v>
          </cell>
        </row>
        <row r="20">
          <cell r="B20" t="str">
            <v>GSF Explorer</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B21" t="str">
            <v>Development Driller III</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row>
        <row r="22">
          <cell r="B22" t="str">
            <v>Deepwater Pathfinder</v>
          </cell>
          <cell r="C22">
            <v>0</v>
          </cell>
          <cell r="D22">
            <v>30</v>
          </cell>
          <cell r="E22">
            <v>0</v>
          </cell>
          <cell r="F22">
            <v>0</v>
          </cell>
          <cell r="G22">
            <v>0</v>
          </cell>
          <cell r="H22">
            <v>0</v>
          </cell>
          <cell r="I22">
            <v>0</v>
          </cell>
          <cell r="J22">
            <v>0</v>
          </cell>
          <cell r="K22">
            <v>0</v>
          </cell>
          <cell r="L22">
            <v>0</v>
          </cell>
          <cell r="M22">
            <v>0</v>
          </cell>
          <cell r="N22">
            <v>0</v>
          </cell>
          <cell r="O22">
            <v>0</v>
          </cell>
          <cell r="P22">
            <v>0</v>
          </cell>
          <cell r="Q22">
            <v>0</v>
          </cell>
          <cell r="R22">
            <v>0</v>
          </cell>
        </row>
        <row r="23">
          <cell r="B23" t="str">
            <v>Deepwater Frontier</v>
          </cell>
          <cell r="C23">
            <v>0</v>
          </cell>
          <cell r="D23">
            <v>0</v>
          </cell>
          <cell r="E23">
            <v>0</v>
          </cell>
          <cell r="F23">
            <v>0</v>
          </cell>
          <cell r="G23">
            <v>0</v>
          </cell>
          <cell r="H23">
            <v>0</v>
          </cell>
          <cell r="I23">
            <v>0</v>
          </cell>
          <cell r="J23">
            <v>0</v>
          </cell>
          <cell r="K23">
            <v>59</v>
          </cell>
          <cell r="L23">
            <v>0</v>
          </cell>
          <cell r="M23">
            <v>0</v>
          </cell>
          <cell r="N23">
            <v>0</v>
          </cell>
          <cell r="O23">
            <v>0</v>
          </cell>
          <cell r="P23">
            <v>0</v>
          </cell>
          <cell r="Q23">
            <v>0</v>
          </cell>
          <cell r="R23">
            <v>0</v>
          </cell>
        </row>
        <row r="24">
          <cell r="B24" t="str">
            <v>Deepwater Expedition</v>
          </cell>
          <cell r="C24">
            <v>0</v>
          </cell>
          <cell r="D24">
            <v>0</v>
          </cell>
          <cell r="E24">
            <v>60</v>
          </cell>
          <cell r="F24">
            <v>0</v>
          </cell>
          <cell r="G24">
            <v>0</v>
          </cell>
          <cell r="H24">
            <v>0</v>
          </cell>
          <cell r="I24">
            <v>0</v>
          </cell>
          <cell r="J24">
            <v>0</v>
          </cell>
          <cell r="K24">
            <v>0</v>
          </cell>
          <cell r="L24">
            <v>0</v>
          </cell>
          <cell r="M24">
            <v>0</v>
          </cell>
          <cell r="N24">
            <v>0</v>
          </cell>
          <cell r="O24">
            <v>0</v>
          </cell>
          <cell r="P24">
            <v>0</v>
          </cell>
          <cell r="Q24">
            <v>0</v>
          </cell>
          <cell r="R24">
            <v>0</v>
          </cell>
        </row>
        <row r="25">
          <cell r="B25" t="str">
            <v>Deepwater Nautilus</v>
          </cell>
          <cell r="C25">
            <v>43</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row>
        <row r="26">
          <cell r="B26" t="str">
            <v>Sedco Express</v>
          </cell>
          <cell r="C26">
            <v>0</v>
          </cell>
          <cell r="D26">
            <v>0</v>
          </cell>
          <cell r="E26">
            <v>0</v>
          </cell>
          <cell r="F26">
            <v>74</v>
          </cell>
          <cell r="G26">
            <v>0</v>
          </cell>
          <cell r="H26">
            <v>0</v>
          </cell>
          <cell r="I26">
            <v>0</v>
          </cell>
          <cell r="J26">
            <v>0</v>
          </cell>
          <cell r="K26">
            <v>0</v>
          </cell>
          <cell r="L26">
            <v>0</v>
          </cell>
          <cell r="M26">
            <v>0</v>
          </cell>
          <cell r="N26">
            <v>0</v>
          </cell>
          <cell r="O26">
            <v>0</v>
          </cell>
          <cell r="P26">
            <v>0</v>
          </cell>
          <cell r="Q26">
            <v>0</v>
          </cell>
          <cell r="R26">
            <v>0</v>
          </cell>
        </row>
        <row r="27">
          <cell r="B27" t="str">
            <v>Sedco Energy</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row>
        <row r="28">
          <cell r="B28" t="str">
            <v>Discoverer Seven Seas</v>
          </cell>
          <cell r="C28">
            <v>5</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B29" t="str">
            <v>Sedco 702</v>
          </cell>
          <cell r="C29">
            <v>0</v>
          </cell>
          <cell r="D29">
            <v>0</v>
          </cell>
          <cell r="E29">
            <v>0</v>
          </cell>
          <cell r="F29">
            <v>0</v>
          </cell>
          <cell r="G29">
            <v>0</v>
          </cell>
          <cell r="H29">
            <v>0</v>
          </cell>
          <cell r="I29">
            <v>0</v>
          </cell>
          <cell r="J29">
            <v>0</v>
          </cell>
          <cell r="K29">
            <v>0</v>
          </cell>
          <cell r="L29">
            <v>73</v>
          </cell>
          <cell r="M29">
            <v>7</v>
          </cell>
          <cell r="N29">
            <v>0</v>
          </cell>
          <cell r="O29">
            <v>0</v>
          </cell>
          <cell r="P29">
            <v>0</v>
          </cell>
          <cell r="Q29">
            <v>0</v>
          </cell>
          <cell r="R29">
            <v>0</v>
          </cell>
        </row>
        <row r="30">
          <cell r="B30" t="str">
            <v>Jack Bates</v>
          </cell>
          <cell r="C30">
            <v>0</v>
          </cell>
          <cell r="D30">
            <v>0</v>
          </cell>
          <cell r="E30">
            <v>0</v>
          </cell>
          <cell r="F30">
            <v>0</v>
          </cell>
          <cell r="G30">
            <v>0</v>
          </cell>
          <cell r="H30">
            <v>0</v>
          </cell>
          <cell r="I30">
            <v>0</v>
          </cell>
          <cell r="J30">
            <v>0</v>
          </cell>
          <cell r="K30">
            <v>0</v>
          </cell>
          <cell r="L30">
            <v>0</v>
          </cell>
          <cell r="M30">
            <v>0</v>
          </cell>
          <cell r="N30">
            <v>37</v>
          </cell>
          <cell r="O30">
            <v>0</v>
          </cell>
          <cell r="P30">
            <v>0</v>
          </cell>
          <cell r="Q30">
            <v>0</v>
          </cell>
          <cell r="R30">
            <v>0</v>
          </cell>
        </row>
        <row r="31">
          <cell r="B31" t="str">
            <v>Deepwater Navigator</v>
          </cell>
          <cell r="C31">
            <v>0</v>
          </cell>
          <cell r="D31">
            <v>0</v>
          </cell>
          <cell r="E31">
            <v>0</v>
          </cell>
          <cell r="F31">
            <v>0</v>
          </cell>
          <cell r="G31">
            <v>0</v>
          </cell>
          <cell r="H31">
            <v>0</v>
          </cell>
          <cell r="I31">
            <v>0</v>
          </cell>
          <cell r="J31">
            <v>0</v>
          </cell>
          <cell r="K31">
            <v>20</v>
          </cell>
          <cell r="L31">
            <v>50</v>
          </cell>
          <cell r="M31">
            <v>0</v>
          </cell>
          <cell r="N31">
            <v>0</v>
          </cell>
          <cell r="O31">
            <v>0</v>
          </cell>
          <cell r="P31">
            <v>0</v>
          </cell>
          <cell r="Q31">
            <v>0</v>
          </cell>
          <cell r="R31">
            <v>0</v>
          </cell>
        </row>
        <row r="32">
          <cell r="B32" t="str">
            <v>Sedco 706</v>
          </cell>
          <cell r="C32">
            <v>59</v>
          </cell>
          <cell r="D32">
            <v>1</v>
          </cell>
          <cell r="E32">
            <v>0</v>
          </cell>
          <cell r="F32">
            <v>0</v>
          </cell>
          <cell r="G32">
            <v>0</v>
          </cell>
          <cell r="H32">
            <v>0</v>
          </cell>
          <cell r="I32">
            <v>0</v>
          </cell>
          <cell r="J32">
            <v>0</v>
          </cell>
          <cell r="K32">
            <v>0</v>
          </cell>
          <cell r="L32">
            <v>0</v>
          </cell>
          <cell r="M32">
            <v>0</v>
          </cell>
          <cell r="N32">
            <v>0</v>
          </cell>
          <cell r="O32">
            <v>0</v>
          </cell>
          <cell r="P32">
            <v>0</v>
          </cell>
          <cell r="Q32">
            <v>0</v>
          </cell>
          <cell r="R32">
            <v>0</v>
          </cell>
        </row>
        <row r="33">
          <cell r="B33" t="str">
            <v>GSF Celtic Sea</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row>
        <row r="34">
          <cell r="B34" t="str">
            <v>Sedco 707</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B35" t="str">
            <v>M.G. Hulme, Jr.</v>
          </cell>
          <cell r="C35">
            <v>16</v>
          </cell>
          <cell r="D35">
            <v>0</v>
          </cell>
          <cell r="E35">
            <v>0</v>
          </cell>
          <cell r="F35">
            <v>0</v>
          </cell>
          <cell r="G35">
            <v>0</v>
          </cell>
          <cell r="H35">
            <v>0</v>
          </cell>
          <cell r="I35">
            <v>0</v>
          </cell>
          <cell r="J35">
            <v>0</v>
          </cell>
          <cell r="K35">
            <v>61</v>
          </cell>
          <cell r="L35">
            <v>0</v>
          </cell>
          <cell r="M35">
            <v>0</v>
          </cell>
          <cell r="N35">
            <v>0</v>
          </cell>
          <cell r="O35">
            <v>0</v>
          </cell>
          <cell r="P35">
            <v>0</v>
          </cell>
          <cell r="Q35">
            <v>0</v>
          </cell>
          <cell r="R35">
            <v>0</v>
          </cell>
        </row>
        <row r="36">
          <cell r="B36" t="str">
            <v>Transocean Marianas</v>
          </cell>
          <cell r="C36">
            <v>0</v>
          </cell>
          <cell r="D36">
            <v>0</v>
          </cell>
          <cell r="E36">
            <v>0</v>
          </cell>
          <cell r="F36">
            <v>0</v>
          </cell>
          <cell r="G36">
            <v>0</v>
          </cell>
          <cell r="H36">
            <v>0</v>
          </cell>
          <cell r="I36">
            <v>0</v>
          </cell>
          <cell r="J36">
            <v>0</v>
          </cell>
          <cell r="K36">
            <v>10</v>
          </cell>
          <cell r="L36">
            <v>0</v>
          </cell>
          <cell r="M36">
            <v>0</v>
          </cell>
          <cell r="N36">
            <v>0</v>
          </cell>
          <cell r="O36">
            <v>0</v>
          </cell>
          <cell r="P36">
            <v>0</v>
          </cell>
          <cell r="Q36">
            <v>0</v>
          </cell>
          <cell r="R36">
            <v>0</v>
          </cell>
        </row>
        <row r="37">
          <cell r="B37" t="str">
            <v>Henry Goodrich</v>
          </cell>
          <cell r="C37">
            <v>14</v>
          </cell>
          <cell r="D37">
            <v>91</v>
          </cell>
          <cell r="E37">
            <v>9</v>
          </cell>
          <cell r="F37">
            <v>0</v>
          </cell>
          <cell r="G37">
            <v>0</v>
          </cell>
          <cell r="H37">
            <v>0</v>
          </cell>
          <cell r="I37">
            <v>0</v>
          </cell>
          <cell r="J37">
            <v>0</v>
          </cell>
          <cell r="K37">
            <v>0</v>
          </cell>
          <cell r="L37">
            <v>0</v>
          </cell>
          <cell r="M37">
            <v>0</v>
          </cell>
          <cell r="N37">
            <v>0</v>
          </cell>
          <cell r="O37">
            <v>0</v>
          </cell>
          <cell r="P37">
            <v>0</v>
          </cell>
          <cell r="Q37">
            <v>0</v>
          </cell>
          <cell r="R37">
            <v>0</v>
          </cell>
        </row>
        <row r="38">
          <cell r="B38" t="str">
            <v>Paul B. Loyd, Jr.</v>
          </cell>
          <cell r="C38">
            <v>0</v>
          </cell>
          <cell r="D38">
            <v>0</v>
          </cell>
          <cell r="E38">
            <v>43</v>
          </cell>
          <cell r="F38">
            <v>57</v>
          </cell>
          <cell r="G38">
            <v>0</v>
          </cell>
          <cell r="H38">
            <v>0</v>
          </cell>
          <cell r="I38">
            <v>0</v>
          </cell>
          <cell r="J38">
            <v>0</v>
          </cell>
          <cell r="K38">
            <v>0</v>
          </cell>
          <cell r="L38">
            <v>0</v>
          </cell>
          <cell r="M38">
            <v>0</v>
          </cell>
          <cell r="N38">
            <v>0</v>
          </cell>
          <cell r="O38">
            <v>0</v>
          </cell>
          <cell r="P38">
            <v>0</v>
          </cell>
          <cell r="Q38">
            <v>0</v>
          </cell>
          <cell r="R38">
            <v>0</v>
          </cell>
        </row>
        <row r="39">
          <cell r="B39" t="str">
            <v>Transocean Barents</v>
          </cell>
          <cell r="C39">
            <v>0</v>
          </cell>
          <cell r="D39">
            <v>0</v>
          </cell>
          <cell r="E39">
            <v>0</v>
          </cell>
          <cell r="F39">
            <v>0</v>
          </cell>
          <cell r="G39">
            <v>0</v>
          </cell>
          <cell r="H39">
            <v>0</v>
          </cell>
          <cell r="I39">
            <v>0</v>
          </cell>
          <cell r="J39">
            <v>0</v>
          </cell>
          <cell r="K39">
            <v>60</v>
          </cell>
          <cell r="L39">
            <v>0</v>
          </cell>
          <cell r="M39">
            <v>0</v>
          </cell>
          <cell r="N39">
            <v>0</v>
          </cell>
          <cell r="O39">
            <v>0</v>
          </cell>
          <cell r="P39">
            <v>0</v>
          </cell>
          <cell r="Q39">
            <v>0</v>
          </cell>
          <cell r="R39">
            <v>0</v>
          </cell>
        </row>
        <row r="40">
          <cell r="B40" t="str">
            <v>Transocean Spitsbergen</v>
          </cell>
          <cell r="C40">
            <v>55</v>
          </cell>
          <cell r="D40">
            <v>0</v>
          </cell>
          <cell r="E40">
            <v>0</v>
          </cell>
          <cell r="F40">
            <v>0</v>
          </cell>
          <cell r="G40">
            <v>0</v>
          </cell>
          <cell r="H40">
            <v>0</v>
          </cell>
          <cell r="I40">
            <v>0</v>
          </cell>
          <cell r="J40">
            <v>0</v>
          </cell>
          <cell r="K40">
            <v>45</v>
          </cell>
          <cell r="L40">
            <v>0</v>
          </cell>
          <cell r="M40">
            <v>0</v>
          </cell>
          <cell r="N40">
            <v>0</v>
          </cell>
          <cell r="O40">
            <v>0</v>
          </cell>
          <cell r="P40">
            <v>0</v>
          </cell>
          <cell r="Q40">
            <v>0</v>
          </cell>
          <cell r="R40">
            <v>0</v>
          </cell>
        </row>
        <row r="41">
          <cell r="B41" t="str">
            <v>Transocean Leader</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row>
        <row r="42">
          <cell r="B42" t="str">
            <v>Polar Pioneer</v>
          </cell>
          <cell r="C42">
            <v>28</v>
          </cell>
          <cell r="D42">
            <v>48</v>
          </cell>
          <cell r="E42">
            <v>0</v>
          </cell>
          <cell r="F42">
            <v>67</v>
          </cell>
          <cell r="G42">
            <v>0</v>
          </cell>
          <cell r="H42">
            <v>0</v>
          </cell>
          <cell r="I42">
            <v>0</v>
          </cell>
          <cell r="J42">
            <v>0</v>
          </cell>
          <cell r="K42">
            <v>9</v>
          </cell>
          <cell r="L42">
            <v>51</v>
          </cell>
          <cell r="M42">
            <v>0</v>
          </cell>
          <cell r="N42">
            <v>67</v>
          </cell>
          <cell r="O42">
            <v>0</v>
          </cell>
          <cell r="P42">
            <v>0</v>
          </cell>
          <cell r="Q42">
            <v>0</v>
          </cell>
          <cell r="R42">
            <v>0</v>
          </cell>
        </row>
        <row r="43">
          <cell r="B43" t="str">
            <v>Actinia</v>
          </cell>
          <cell r="C43">
            <v>0</v>
          </cell>
          <cell r="D43">
            <v>0</v>
          </cell>
          <cell r="E43">
            <v>11</v>
          </cell>
          <cell r="F43">
            <v>10</v>
          </cell>
          <cell r="G43">
            <v>0</v>
          </cell>
          <cell r="H43">
            <v>0</v>
          </cell>
          <cell r="I43">
            <v>0</v>
          </cell>
          <cell r="J43">
            <v>0</v>
          </cell>
          <cell r="K43">
            <v>0</v>
          </cell>
          <cell r="L43">
            <v>0</v>
          </cell>
          <cell r="M43">
            <v>0</v>
          </cell>
          <cell r="N43">
            <v>0</v>
          </cell>
          <cell r="O43">
            <v>0</v>
          </cell>
          <cell r="P43">
            <v>0</v>
          </cell>
          <cell r="Q43">
            <v>0</v>
          </cell>
          <cell r="R43">
            <v>0</v>
          </cell>
        </row>
        <row r="44">
          <cell r="B44" t="str">
            <v>Transocean Legend</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row>
        <row r="45">
          <cell r="B45" t="str">
            <v>Transocean Winner</v>
          </cell>
          <cell r="C45">
            <v>0</v>
          </cell>
          <cell r="D45">
            <v>0</v>
          </cell>
          <cell r="E45">
            <v>0</v>
          </cell>
          <cell r="F45">
            <v>0</v>
          </cell>
          <cell r="G45">
            <v>0</v>
          </cell>
          <cell r="H45">
            <v>0</v>
          </cell>
          <cell r="I45">
            <v>0</v>
          </cell>
          <cell r="J45">
            <v>0</v>
          </cell>
          <cell r="K45">
            <v>0</v>
          </cell>
          <cell r="L45">
            <v>0</v>
          </cell>
          <cell r="M45">
            <v>45</v>
          </cell>
          <cell r="N45">
            <v>0</v>
          </cell>
          <cell r="O45">
            <v>0</v>
          </cell>
          <cell r="P45">
            <v>0</v>
          </cell>
          <cell r="Q45">
            <v>0</v>
          </cell>
          <cell r="R45">
            <v>0</v>
          </cell>
        </row>
        <row r="46">
          <cell r="B46" t="str">
            <v>GSF Rig 135</v>
          </cell>
          <cell r="C46">
            <v>0</v>
          </cell>
          <cell r="D46">
            <v>0</v>
          </cell>
          <cell r="E46">
            <v>0</v>
          </cell>
          <cell r="F46">
            <v>7</v>
          </cell>
          <cell r="G46">
            <v>0</v>
          </cell>
          <cell r="H46">
            <v>0</v>
          </cell>
          <cell r="I46">
            <v>0</v>
          </cell>
          <cell r="J46">
            <v>0</v>
          </cell>
          <cell r="K46">
            <v>0</v>
          </cell>
          <cell r="L46">
            <v>0</v>
          </cell>
          <cell r="M46">
            <v>0</v>
          </cell>
          <cell r="N46">
            <v>0</v>
          </cell>
          <cell r="O46">
            <v>0</v>
          </cell>
          <cell r="P46">
            <v>0</v>
          </cell>
          <cell r="Q46">
            <v>0</v>
          </cell>
          <cell r="R46">
            <v>0</v>
          </cell>
        </row>
        <row r="47">
          <cell r="B47" t="str">
            <v>GSF Rig 140</v>
          </cell>
          <cell r="C47">
            <v>6</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row>
        <row r="48">
          <cell r="B48" t="str">
            <v>Sedco 712</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row>
        <row r="49">
          <cell r="B49" t="str">
            <v>Transocean Driller</v>
          </cell>
          <cell r="C49">
            <v>0</v>
          </cell>
          <cell r="D49">
            <v>0</v>
          </cell>
          <cell r="E49">
            <v>2</v>
          </cell>
          <cell r="F49">
            <v>0</v>
          </cell>
          <cell r="G49">
            <v>0</v>
          </cell>
          <cell r="H49">
            <v>0</v>
          </cell>
          <cell r="I49">
            <v>0</v>
          </cell>
          <cell r="J49">
            <v>0</v>
          </cell>
          <cell r="K49">
            <v>0</v>
          </cell>
          <cell r="L49">
            <v>0</v>
          </cell>
          <cell r="M49">
            <v>75</v>
          </cell>
          <cell r="N49">
            <v>10</v>
          </cell>
          <cell r="O49">
            <v>0</v>
          </cell>
          <cell r="P49">
            <v>0</v>
          </cell>
          <cell r="Q49">
            <v>0</v>
          </cell>
          <cell r="R49">
            <v>0</v>
          </cell>
        </row>
        <row r="50">
          <cell r="B50" t="str">
            <v>GSF Arctic III</v>
          </cell>
          <cell r="C50">
            <v>59</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row>
        <row r="51">
          <cell r="B51" t="str">
            <v>GSF Galaxy II</v>
          </cell>
          <cell r="C51">
            <v>66</v>
          </cell>
          <cell r="D51">
            <v>0</v>
          </cell>
          <cell r="E51">
            <v>0</v>
          </cell>
          <cell r="F51">
            <v>0</v>
          </cell>
          <cell r="G51">
            <v>0</v>
          </cell>
          <cell r="H51">
            <v>0</v>
          </cell>
          <cell r="I51">
            <v>0</v>
          </cell>
          <cell r="J51">
            <v>0</v>
          </cell>
          <cell r="K51">
            <v>0</v>
          </cell>
          <cell r="L51">
            <v>0</v>
          </cell>
          <cell r="M51">
            <v>0</v>
          </cell>
          <cell r="N51">
            <v>14</v>
          </cell>
          <cell r="O51">
            <v>0</v>
          </cell>
          <cell r="P51">
            <v>0</v>
          </cell>
          <cell r="Q51">
            <v>0</v>
          </cell>
          <cell r="R51">
            <v>0</v>
          </cell>
        </row>
        <row r="52">
          <cell r="B52" t="str">
            <v>GSF Constellation I</v>
          </cell>
          <cell r="C52">
            <v>0</v>
          </cell>
          <cell r="D52">
            <v>0</v>
          </cell>
          <cell r="E52">
            <v>0</v>
          </cell>
          <cell r="F52">
            <v>0</v>
          </cell>
          <cell r="G52">
            <v>0</v>
          </cell>
          <cell r="H52">
            <v>0</v>
          </cell>
          <cell r="I52">
            <v>0</v>
          </cell>
          <cell r="J52">
            <v>0</v>
          </cell>
          <cell r="K52">
            <v>15</v>
          </cell>
          <cell r="L52">
            <v>0</v>
          </cell>
          <cell r="M52">
            <v>0</v>
          </cell>
          <cell r="N52">
            <v>0</v>
          </cell>
          <cell r="O52">
            <v>0</v>
          </cell>
          <cell r="P52">
            <v>0</v>
          </cell>
          <cell r="Q52">
            <v>0</v>
          </cell>
          <cell r="R52">
            <v>0</v>
          </cell>
        </row>
        <row r="53">
          <cell r="B53" t="str">
            <v>GSF Constellation II</v>
          </cell>
          <cell r="C53">
            <v>0</v>
          </cell>
          <cell r="D53">
            <v>0</v>
          </cell>
          <cell r="E53">
            <v>0</v>
          </cell>
          <cell r="F53">
            <v>0</v>
          </cell>
          <cell r="G53">
            <v>0</v>
          </cell>
          <cell r="H53">
            <v>0</v>
          </cell>
          <cell r="I53">
            <v>0</v>
          </cell>
          <cell r="J53">
            <v>0</v>
          </cell>
          <cell r="K53">
            <v>0</v>
          </cell>
          <cell r="L53">
            <v>0</v>
          </cell>
          <cell r="M53">
            <v>21</v>
          </cell>
          <cell r="N53">
            <v>0</v>
          </cell>
          <cell r="O53">
            <v>0</v>
          </cell>
          <cell r="P53">
            <v>0</v>
          </cell>
          <cell r="Q53">
            <v>0</v>
          </cell>
          <cell r="R53">
            <v>0</v>
          </cell>
        </row>
        <row r="54">
          <cell r="B54" t="str">
            <v>Transocean Honor</v>
          </cell>
          <cell r="C54">
            <v>0</v>
          </cell>
          <cell r="D54">
            <v>0</v>
          </cell>
          <cell r="E54">
            <v>0</v>
          </cell>
          <cell r="F54">
            <v>0</v>
          </cell>
          <cell r="G54">
            <v>0</v>
          </cell>
          <cell r="H54">
            <v>0</v>
          </cell>
          <cell r="I54">
            <v>0</v>
          </cell>
          <cell r="J54">
            <v>0</v>
          </cell>
          <cell r="K54">
            <v>0</v>
          </cell>
          <cell r="L54">
            <v>0</v>
          </cell>
          <cell r="M54">
            <v>0</v>
          </cell>
          <cell r="N54">
            <v>21</v>
          </cell>
          <cell r="O54">
            <v>0</v>
          </cell>
          <cell r="P54">
            <v>0</v>
          </cell>
          <cell r="Q54">
            <v>0</v>
          </cell>
          <cell r="R54">
            <v>0</v>
          </cell>
        </row>
        <row r="55">
          <cell r="B55" t="str">
            <v>Transocean Ao Thai</v>
          </cell>
          <cell r="C55">
            <v>0</v>
          </cell>
          <cell r="D55">
            <v>0</v>
          </cell>
          <cell r="E55">
            <v>0</v>
          </cell>
          <cell r="F55">
            <v>0</v>
          </cell>
          <cell r="G55">
            <v>0</v>
          </cell>
          <cell r="H55">
            <v>0</v>
          </cell>
          <cell r="I55">
            <v>8</v>
          </cell>
          <cell r="J55">
            <v>0</v>
          </cell>
          <cell r="K55">
            <v>0</v>
          </cell>
          <cell r="L55">
            <v>0</v>
          </cell>
          <cell r="M55">
            <v>8</v>
          </cell>
          <cell r="N55">
            <v>0</v>
          </cell>
          <cell r="O55">
            <v>0</v>
          </cell>
          <cell r="P55">
            <v>0</v>
          </cell>
          <cell r="Q55">
            <v>8</v>
          </cell>
          <cell r="R55">
            <v>0</v>
          </cell>
        </row>
        <row r="56">
          <cell r="B56" t="str">
            <v>Transocean Andaman</v>
          </cell>
          <cell r="C56">
            <v>0</v>
          </cell>
          <cell r="D56">
            <v>0</v>
          </cell>
          <cell r="E56">
            <v>0</v>
          </cell>
          <cell r="F56">
            <v>0</v>
          </cell>
          <cell r="G56">
            <v>0</v>
          </cell>
          <cell r="H56">
            <v>0</v>
          </cell>
          <cell r="I56">
            <v>0</v>
          </cell>
          <cell r="J56">
            <v>0</v>
          </cell>
          <cell r="K56">
            <v>0</v>
          </cell>
          <cell r="L56">
            <v>8</v>
          </cell>
          <cell r="M56">
            <v>0</v>
          </cell>
          <cell r="N56">
            <v>0</v>
          </cell>
          <cell r="O56">
            <v>0</v>
          </cell>
          <cell r="P56">
            <v>0</v>
          </cell>
          <cell r="Q56">
            <v>0</v>
          </cell>
          <cell r="R56">
            <v>0</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L31" sqref="L31"/>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17</v>
      </c>
      <c r="B11" s="7"/>
      <c r="C11" s="59"/>
      <c r="D11" s="7"/>
      <c r="E11" s="7"/>
      <c r="F11" s="7"/>
      <c r="G11" s="7"/>
      <c r="H11" s="7"/>
      <c r="I11" s="7"/>
      <c r="J11" s="7"/>
      <c r="K11" s="7"/>
      <c r="L11" s="7"/>
    </row>
    <row r="12" spans="1:17" ht="409.5" customHeight="1" x14ac:dyDescent="0.35">
      <c r="A12" s="7"/>
      <c r="B12" s="7"/>
      <c r="C12" s="35"/>
      <c r="D12" s="7"/>
      <c r="E12" s="7"/>
      <c r="F12" s="7"/>
      <c r="G12" s="7"/>
      <c r="H12" s="7"/>
      <c r="I12" s="7"/>
      <c r="J12" s="7"/>
      <c r="K12" s="7"/>
      <c r="L12" s="7"/>
      <c r="Q12" s="33"/>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X51"/>
  <sheetViews>
    <sheetView tabSelected="1" zoomScale="85" zoomScaleNormal="85"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B1" sqref="B1"/>
    </sheetView>
  </sheetViews>
  <sheetFormatPr defaultRowHeight="12.75" x14ac:dyDescent="0.2"/>
  <cols>
    <col min="1" max="1" width="31.85546875" style="112" customWidth="1"/>
    <col min="2" max="2" width="19" style="112" customWidth="1"/>
    <col min="3" max="3" width="14.85546875" style="112" customWidth="1"/>
    <col min="4" max="4" width="17.42578125" style="112" customWidth="1"/>
    <col min="5" max="5" width="15.85546875" style="112" customWidth="1"/>
    <col min="6" max="6" width="15.140625" style="112" customWidth="1"/>
    <col min="7" max="7" width="18" style="112" customWidth="1"/>
    <col min="8" max="8" width="15" style="112" customWidth="1"/>
    <col min="9" max="9" width="18.7109375" style="112" customWidth="1"/>
    <col min="10" max="10" width="16.85546875" style="112" customWidth="1"/>
    <col min="11" max="11" width="10.7109375" style="112" customWidth="1"/>
    <col min="12" max="12" width="12" style="112" customWidth="1"/>
    <col min="13" max="13" width="12.140625" style="112" customWidth="1"/>
    <col min="14" max="14" width="2.7109375" style="115" customWidth="1"/>
    <col min="15" max="18" width="11.7109375" style="112" customWidth="1"/>
    <col min="19" max="19" width="3.140625" style="115" customWidth="1"/>
    <col min="20" max="23" width="11.7109375" style="112" customWidth="1"/>
    <col min="24" max="24" width="9.140625" style="112" customWidth="1"/>
    <col min="25" max="16384" width="9.140625" style="112"/>
  </cols>
  <sheetData>
    <row r="1" spans="1:23" ht="41.25" customHeight="1" x14ac:dyDescent="0.2">
      <c r="C1" s="35"/>
      <c r="E1" s="36"/>
      <c r="F1" s="36"/>
      <c r="H1" s="117"/>
    </row>
    <row r="2" spans="1:23" ht="13.5" customHeight="1" x14ac:dyDescent="0.2">
      <c r="A2" s="118" t="s">
        <v>109</v>
      </c>
      <c r="B2" s="92"/>
      <c r="C2" s="91"/>
      <c r="K2" s="37"/>
      <c r="L2" s="37"/>
    </row>
    <row r="3" spans="1:23" ht="16.5" customHeight="1" x14ac:dyDescent="0.2">
      <c r="A3" s="316" t="s">
        <v>71</v>
      </c>
      <c r="B3" s="316"/>
      <c r="C3" s="317"/>
      <c r="D3" s="317"/>
      <c r="E3" s="317"/>
      <c r="F3" s="317"/>
      <c r="G3" s="317"/>
      <c r="H3" s="317"/>
      <c r="I3" s="317"/>
      <c r="J3" s="317"/>
      <c r="K3" s="317"/>
      <c r="L3" s="317"/>
      <c r="M3" s="317"/>
      <c r="N3" s="206"/>
    </row>
    <row r="4" spans="1:23" x14ac:dyDescent="0.2">
      <c r="A4" s="318" t="s">
        <v>36</v>
      </c>
      <c r="B4" s="318"/>
      <c r="C4" s="318"/>
      <c r="D4" s="318"/>
      <c r="E4" s="318"/>
      <c r="F4" s="318"/>
      <c r="G4" s="318"/>
      <c r="H4" s="318"/>
      <c r="I4" s="318"/>
      <c r="J4" s="318"/>
      <c r="K4" s="318"/>
      <c r="L4" s="318"/>
      <c r="M4" s="318"/>
      <c r="N4" s="206"/>
    </row>
    <row r="5" spans="1:23" s="115" customFormat="1" ht="15.75" x14ac:dyDescent="0.25">
      <c r="A5" s="39"/>
      <c r="B5" s="56"/>
      <c r="C5" s="77"/>
      <c r="D5" s="41"/>
      <c r="E5" s="42"/>
      <c r="F5" s="43"/>
      <c r="G5" s="43"/>
      <c r="H5" s="44"/>
      <c r="I5" s="44"/>
      <c r="J5" s="43"/>
      <c r="K5" s="43"/>
      <c r="L5" s="43" t="s">
        <v>34</v>
      </c>
      <c r="M5" s="84" t="s">
        <v>34</v>
      </c>
      <c r="N5" s="88"/>
      <c r="O5" s="319" t="s">
        <v>80</v>
      </c>
      <c r="P5" s="320"/>
      <c r="Q5" s="320"/>
      <c r="R5" s="321"/>
      <c r="S5" s="102"/>
      <c r="T5" s="319" t="s">
        <v>80</v>
      </c>
      <c r="U5" s="320"/>
      <c r="V5" s="320"/>
      <c r="W5" s="321"/>
    </row>
    <row r="6" spans="1:23" s="115" customFormat="1" ht="15.75" x14ac:dyDescent="0.25">
      <c r="A6" s="104"/>
      <c r="B6" s="105"/>
      <c r="C6" s="106"/>
      <c r="D6" s="107"/>
      <c r="E6" s="108" t="s">
        <v>57</v>
      </c>
      <c r="F6" s="46" t="s">
        <v>5</v>
      </c>
      <c r="G6" s="46" t="s">
        <v>53</v>
      </c>
      <c r="H6" s="45"/>
      <c r="I6" s="45"/>
      <c r="J6" s="46" t="s">
        <v>25</v>
      </c>
      <c r="K6" s="46" t="s">
        <v>25</v>
      </c>
      <c r="L6" s="46" t="s">
        <v>84</v>
      </c>
      <c r="M6" s="109" t="s">
        <v>86</v>
      </c>
      <c r="N6" s="88"/>
      <c r="O6" s="207"/>
      <c r="P6" s="208"/>
      <c r="Q6" s="208"/>
      <c r="R6" s="209"/>
      <c r="S6" s="102"/>
      <c r="T6" s="207"/>
      <c r="U6" s="208"/>
      <c r="V6" s="208"/>
      <c r="W6" s="209"/>
    </row>
    <row r="7" spans="1:23" s="115" customFormat="1" ht="14.25" customHeight="1" x14ac:dyDescent="0.2">
      <c r="A7" s="40"/>
      <c r="B7" s="57" t="s">
        <v>61</v>
      </c>
      <c r="C7" s="207" t="s">
        <v>20</v>
      </c>
      <c r="D7" s="208" t="s">
        <v>54</v>
      </c>
      <c r="E7" s="208" t="s">
        <v>24</v>
      </c>
      <c r="F7" s="208" t="s">
        <v>6</v>
      </c>
      <c r="G7" s="208" t="s">
        <v>6</v>
      </c>
      <c r="H7" s="45"/>
      <c r="I7" s="45"/>
      <c r="J7" s="46" t="s">
        <v>55</v>
      </c>
      <c r="K7" s="46" t="s">
        <v>59</v>
      </c>
      <c r="L7" s="51" t="s">
        <v>85</v>
      </c>
      <c r="M7" s="85" t="s">
        <v>85</v>
      </c>
      <c r="N7" s="83"/>
      <c r="O7" s="322">
        <v>2015</v>
      </c>
      <c r="P7" s="323"/>
      <c r="Q7" s="323"/>
      <c r="R7" s="324"/>
      <c r="S7" s="102"/>
      <c r="T7" s="322">
        <v>2016</v>
      </c>
      <c r="U7" s="323"/>
      <c r="V7" s="323"/>
      <c r="W7" s="324"/>
    </row>
    <row r="8" spans="1:23" s="115" customFormat="1" ht="13.5" customHeight="1" x14ac:dyDescent="0.2">
      <c r="A8" s="50" t="s">
        <v>4</v>
      </c>
      <c r="B8" s="58" t="s">
        <v>62</v>
      </c>
      <c r="C8" s="78" t="s">
        <v>21</v>
      </c>
      <c r="D8" s="79" t="s">
        <v>56</v>
      </c>
      <c r="E8" s="47" t="s">
        <v>7</v>
      </c>
      <c r="F8" s="48" t="s">
        <v>26</v>
      </c>
      <c r="G8" s="48" t="s">
        <v>26</v>
      </c>
      <c r="H8" s="49" t="s">
        <v>8</v>
      </c>
      <c r="I8" s="49" t="s">
        <v>32</v>
      </c>
      <c r="J8" s="47" t="s">
        <v>58</v>
      </c>
      <c r="K8" s="47" t="s">
        <v>60</v>
      </c>
      <c r="L8" s="48" t="s">
        <v>27</v>
      </c>
      <c r="M8" s="86" t="s">
        <v>27</v>
      </c>
      <c r="N8" s="89"/>
      <c r="O8" s="72" t="s">
        <v>73</v>
      </c>
      <c r="P8" s="52" t="s">
        <v>74</v>
      </c>
      <c r="Q8" s="52" t="s">
        <v>75</v>
      </c>
      <c r="R8" s="53" t="s">
        <v>72</v>
      </c>
      <c r="S8" s="103"/>
      <c r="T8" s="72" t="s">
        <v>73</v>
      </c>
      <c r="U8" s="52" t="s">
        <v>74</v>
      </c>
      <c r="V8" s="52" t="s">
        <v>75</v>
      </c>
      <c r="W8" s="53" t="s">
        <v>72</v>
      </c>
    </row>
    <row r="9" spans="1:23" s="115" customFormat="1" ht="9" customHeight="1" x14ac:dyDescent="0.2">
      <c r="A9" s="95"/>
      <c r="B9" s="221"/>
      <c r="C9" s="96"/>
      <c r="D9" s="97"/>
      <c r="E9" s="96"/>
      <c r="F9" s="96"/>
      <c r="G9" s="96"/>
      <c r="H9" s="96"/>
      <c r="I9" s="96"/>
      <c r="J9" s="96"/>
      <c r="K9" s="96"/>
      <c r="L9" s="96"/>
      <c r="M9" s="98"/>
      <c r="N9" s="4"/>
      <c r="O9" s="73"/>
      <c r="P9" s="116"/>
      <c r="Q9" s="116"/>
      <c r="R9" s="81"/>
      <c r="S9" s="116"/>
      <c r="T9" s="73"/>
      <c r="U9" s="116"/>
      <c r="V9" s="116"/>
      <c r="W9" s="81"/>
    </row>
    <row r="10" spans="1:23" s="5" customFormat="1" ht="15" x14ac:dyDescent="0.2">
      <c r="A10" s="134" t="s">
        <v>110</v>
      </c>
      <c r="B10" s="135"/>
      <c r="C10" s="136"/>
      <c r="D10" s="137"/>
      <c r="E10" s="138"/>
      <c r="F10" s="137"/>
      <c r="G10" s="137"/>
      <c r="H10" s="137"/>
      <c r="I10" s="137"/>
      <c r="J10" s="156"/>
      <c r="K10" s="156"/>
      <c r="L10" s="159"/>
      <c r="M10" s="160"/>
      <c r="N10" s="152"/>
      <c r="O10" s="139"/>
      <c r="P10" s="127"/>
      <c r="Q10" s="127"/>
      <c r="R10" s="128"/>
      <c r="S10" s="155"/>
      <c r="T10" s="174"/>
      <c r="U10" s="173"/>
      <c r="V10" s="173"/>
      <c r="W10" s="175"/>
    </row>
    <row r="11" spans="1:23" s="5" customFormat="1" ht="6" customHeight="1" x14ac:dyDescent="0.2">
      <c r="A11" s="145"/>
      <c r="B11" s="146"/>
      <c r="C11" s="147"/>
      <c r="D11" s="147"/>
      <c r="E11" s="147"/>
      <c r="F11" s="147"/>
      <c r="G11" s="147"/>
      <c r="H11" s="147"/>
      <c r="I11" s="147"/>
      <c r="J11" s="157"/>
      <c r="K11" s="157"/>
      <c r="L11" s="161"/>
      <c r="M11" s="162"/>
      <c r="N11" s="153"/>
      <c r="O11" s="214"/>
      <c r="P11" s="215"/>
      <c r="Q11" s="215"/>
      <c r="R11" s="216"/>
      <c r="S11" s="168"/>
      <c r="T11" s="214"/>
      <c r="U11" s="215"/>
      <c r="V11" s="215"/>
      <c r="W11" s="216"/>
    </row>
    <row r="12" spans="1:23" s="115" customFormat="1" ht="12.75" customHeight="1" x14ac:dyDescent="0.2">
      <c r="A12" s="230" t="s">
        <v>91</v>
      </c>
      <c r="B12" s="231">
        <v>-12</v>
      </c>
      <c r="C12" s="232"/>
      <c r="D12" s="233"/>
      <c r="E12" s="232" t="s">
        <v>28</v>
      </c>
      <c r="F12" s="234">
        <v>400</v>
      </c>
      <c r="G12" s="234">
        <v>35000</v>
      </c>
      <c r="H12" s="232" t="s">
        <v>28</v>
      </c>
      <c r="I12" s="235"/>
      <c r="J12" s="235"/>
      <c r="K12" s="235"/>
      <c r="L12" s="236"/>
      <c r="M12" s="237"/>
      <c r="N12" s="76"/>
      <c r="O12" s="238"/>
      <c r="P12" s="239"/>
      <c r="Q12" s="239"/>
      <c r="R12" s="240"/>
      <c r="S12" s="114"/>
      <c r="T12" s="238"/>
      <c r="U12" s="239"/>
      <c r="V12" s="239"/>
      <c r="W12" s="240"/>
    </row>
    <row r="13" spans="1:23" s="115" customFormat="1" ht="12.75" customHeight="1" x14ac:dyDescent="0.2">
      <c r="A13" s="224" t="s">
        <v>92</v>
      </c>
      <c r="B13" s="229">
        <v>-12</v>
      </c>
      <c r="C13" s="120"/>
      <c r="D13" s="130"/>
      <c r="E13" s="120" t="s">
        <v>28</v>
      </c>
      <c r="F13" s="121">
        <v>400</v>
      </c>
      <c r="G13" s="121">
        <v>35000</v>
      </c>
      <c r="H13" s="120" t="s">
        <v>28</v>
      </c>
      <c r="I13" s="69"/>
      <c r="J13" s="69"/>
      <c r="K13" s="69"/>
      <c r="L13" s="125"/>
      <c r="M13" s="87"/>
      <c r="N13" s="76"/>
      <c r="O13" s="166"/>
      <c r="P13" s="114"/>
      <c r="Q13" s="114"/>
      <c r="R13" s="170"/>
      <c r="S13" s="114"/>
      <c r="T13" s="166"/>
      <c r="U13" s="114"/>
      <c r="V13" s="114"/>
      <c r="W13" s="170"/>
    </row>
    <row r="14" spans="1:23" s="115" customFormat="1" ht="12.75" customHeight="1" x14ac:dyDescent="0.2">
      <c r="A14" s="230" t="s">
        <v>93</v>
      </c>
      <c r="B14" s="231">
        <v>-12</v>
      </c>
      <c r="C14" s="232"/>
      <c r="D14" s="233"/>
      <c r="E14" s="232" t="s">
        <v>28</v>
      </c>
      <c r="F14" s="234">
        <v>400</v>
      </c>
      <c r="G14" s="234">
        <v>35000</v>
      </c>
      <c r="H14" s="232" t="s">
        <v>28</v>
      </c>
      <c r="I14" s="235"/>
      <c r="J14" s="235"/>
      <c r="K14" s="235"/>
      <c r="L14" s="236"/>
      <c r="M14" s="237"/>
      <c r="N14" s="76"/>
      <c r="O14" s="238"/>
      <c r="P14" s="239"/>
      <c r="Q14" s="239"/>
      <c r="R14" s="240"/>
      <c r="S14" s="114"/>
      <c r="T14" s="238"/>
      <c r="U14" s="239"/>
      <c r="V14" s="239"/>
      <c r="W14" s="240"/>
    </row>
    <row r="15" spans="1:23" s="115" customFormat="1" ht="12.75" customHeight="1" x14ac:dyDescent="0.2">
      <c r="A15" s="224" t="s">
        <v>94</v>
      </c>
      <c r="B15" s="229">
        <v>-12</v>
      </c>
      <c r="C15" s="120"/>
      <c r="D15" s="130"/>
      <c r="E15" s="120" t="s">
        <v>28</v>
      </c>
      <c r="F15" s="121">
        <v>400</v>
      </c>
      <c r="G15" s="121">
        <v>35000</v>
      </c>
      <c r="H15" s="120" t="s">
        <v>28</v>
      </c>
      <c r="I15" s="69"/>
      <c r="J15" s="69"/>
      <c r="K15" s="69"/>
      <c r="L15" s="125"/>
      <c r="M15" s="87"/>
      <c r="N15" s="76"/>
      <c r="O15" s="166"/>
      <c r="P15" s="114"/>
      <c r="Q15" s="114"/>
      <c r="R15" s="170"/>
      <c r="S15" s="114"/>
      <c r="T15" s="166"/>
      <c r="U15" s="114"/>
      <c r="V15" s="114"/>
      <c r="W15" s="170"/>
    </row>
    <row r="16" spans="1:23" s="115" customFormat="1" ht="12.75" customHeight="1" x14ac:dyDescent="0.2">
      <c r="A16" s="241" t="s">
        <v>95</v>
      </c>
      <c r="B16" s="242">
        <v>-12</v>
      </c>
      <c r="C16" s="243"/>
      <c r="D16" s="244"/>
      <c r="E16" s="243" t="s">
        <v>28</v>
      </c>
      <c r="F16" s="245">
        <v>400</v>
      </c>
      <c r="G16" s="245">
        <v>35000</v>
      </c>
      <c r="H16" s="243" t="s">
        <v>28</v>
      </c>
      <c r="I16" s="246"/>
      <c r="J16" s="246"/>
      <c r="K16" s="246"/>
      <c r="L16" s="247"/>
      <c r="M16" s="248"/>
      <c r="N16" s="76"/>
      <c r="O16" s="249"/>
      <c r="P16" s="250"/>
      <c r="Q16" s="250"/>
      <c r="R16" s="251"/>
      <c r="S16" s="114"/>
      <c r="T16" s="249"/>
      <c r="U16" s="250"/>
      <c r="V16" s="250"/>
      <c r="W16" s="251"/>
    </row>
    <row r="17" spans="1:24" s="115" customFormat="1" ht="9" customHeight="1" x14ac:dyDescent="0.2">
      <c r="A17" s="67"/>
      <c r="B17" s="55"/>
      <c r="C17" s="4"/>
      <c r="D17" s="169"/>
      <c r="E17" s="4"/>
      <c r="F17" s="4"/>
      <c r="G17" s="4"/>
      <c r="H17" s="4"/>
      <c r="I17" s="4"/>
      <c r="J17" s="4"/>
      <c r="K17" s="4"/>
      <c r="L17" s="4"/>
      <c r="M17" s="4"/>
      <c r="N17" s="4"/>
      <c r="O17" s="222"/>
      <c r="P17" s="116"/>
      <c r="Q17" s="116"/>
      <c r="R17" s="222"/>
      <c r="S17" s="116"/>
      <c r="T17" s="223"/>
      <c r="U17" s="116"/>
      <c r="V17" s="116"/>
      <c r="W17" s="116"/>
    </row>
    <row r="18" spans="1:24" s="5" customFormat="1" ht="15" x14ac:dyDescent="0.2">
      <c r="A18" s="134" t="s">
        <v>113</v>
      </c>
      <c r="B18" s="135"/>
      <c r="C18" s="136"/>
      <c r="D18" s="137"/>
      <c r="E18" s="138"/>
      <c r="F18" s="137"/>
      <c r="G18" s="137"/>
      <c r="H18" s="137"/>
      <c r="I18" s="137"/>
      <c r="J18" s="156"/>
      <c r="K18" s="156"/>
      <c r="L18" s="159"/>
      <c r="M18" s="160"/>
      <c r="N18" s="152"/>
      <c r="O18" s="139"/>
      <c r="P18" s="127"/>
      <c r="Q18" s="127"/>
      <c r="R18" s="128"/>
      <c r="S18" s="155"/>
      <c r="T18" s="174"/>
      <c r="U18" s="173"/>
      <c r="V18" s="173"/>
      <c r="W18" s="175"/>
    </row>
    <row r="19" spans="1:24" s="5" customFormat="1" ht="6" customHeight="1" x14ac:dyDescent="0.2">
      <c r="A19" s="145"/>
      <c r="B19" s="146"/>
      <c r="C19" s="147"/>
      <c r="D19" s="147"/>
      <c r="E19" s="147"/>
      <c r="F19" s="147"/>
      <c r="G19" s="147"/>
      <c r="H19" s="147"/>
      <c r="I19" s="147"/>
      <c r="J19" s="157"/>
      <c r="K19" s="157"/>
      <c r="L19" s="161"/>
      <c r="M19" s="162"/>
      <c r="N19" s="153"/>
      <c r="O19" s="214"/>
      <c r="P19" s="215"/>
      <c r="Q19" s="215"/>
      <c r="R19" s="216"/>
      <c r="S19" s="168"/>
      <c r="T19" s="214"/>
      <c r="U19" s="215"/>
      <c r="V19" s="215"/>
      <c r="W19" s="216"/>
    </row>
    <row r="20" spans="1:24" ht="14.25" customHeight="1" x14ac:dyDescent="0.2">
      <c r="A20" s="211" t="s">
        <v>76</v>
      </c>
      <c r="B20" s="151">
        <v>-6</v>
      </c>
      <c r="C20" s="179" t="s">
        <v>18</v>
      </c>
      <c r="D20" s="130" t="s">
        <v>23</v>
      </c>
      <c r="E20" s="180">
        <v>2001</v>
      </c>
      <c r="F20" s="181">
        <v>10000</v>
      </c>
      <c r="G20" s="181">
        <v>35000</v>
      </c>
      <c r="H20" s="180" t="s">
        <v>9</v>
      </c>
      <c r="I20" s="180" t="s">
        <v>77</v>
      </c>
      <c r="J20" s="171">
        <v>41578</v>
      </c>
      <c r="K20" s="171">
        <v>42704</v>
      </c>
      <c r="L20" s="172">
        <v>604000</v>
      </c>
      <c r="M20" s="126">
        <v>456000</v>
      </c>
      <c r="N20" s="125"/>
      <c r="O20" s="166">
        <v>0</v>
      </c>
      <c r="P20" s="116">
        <v>32</v>
      </c>
      <c r="Q20" s="116">
        <v>29</v>
      </c>
      <c r="R20" s="170">
        <v>0</v>
      </c>
      <c r="S20" s="114"/>
      <c r="T20" s="166">
        <v>0</v>
      </c>
      <c r="U20" s="114">
        <v>0</v>
      </c>
      <c r="V20" s="114">
        <v>0</v>
      </c>
      <c r="W20" s="170">
        <v>0</v>
      </c>
      <c r="X20" s="184"/>
    </row>
    <row r="21" spans="1:24" ht="15.2" customHeight="1" x14ac:dyDescent="0.2">
      <c r="A21" s="252" t="s">
        <v>64</v>
      </c>
      <c r="B21" s="253">
        <v>-11</v>
      </c>
      <c r="C21" s="232" t="s">
        <v>19</v>
      </c>
      <c r="D21" s="233" t="s">
        <v>23</v>
      </c>
      <c r="E21" s="232">
        <v>2001</v>
      </c>
      <c r="F21" s="234">
        <v>8500</v>
      </c>
      <c r="G21" s="234">
        <v>35000</v>
      </c>
      <c r="H21" s="232" t="s">
        <v>83</v>
      </c>
      <c r="I21" s="232" t="s">
        <v>82</v>
      </c>
      <c r="J21" s="254">
        <v>41987</v>
      </c>
      <c r="K21" s="254">
        <v>42339</v>
      </c>
      <c r="L21" s="255">
        <v>495000</v>
      </c>
      <c r="M21" s="256">
        <v>487000</v>
      </c>
      <c r="N21" s="125"/>
      <c r="O21" s="238">
        <v>13.614583333333334</v>
      </c>
      <c r="P21" s="239">
        <v>0</v>
      </c>
      <c r="Q21" s="239">
        <v>0</v>
      </c>
      <c r="R21" s="240">
        <v>0</v>
      </c>
      <c r="S21" s="114"/>
      <c r="T21" s="238">
        <v>0</v>
      </c>
      <c r="U21" s="239">
        <v>0</v>
      </c>
      <c r="V21" s="239">
        <v>0</v>
      </c>
      <c r="W21" s="240">
        <v>0</v>
      </c>
      <c r="X21" s="184"/>
    </row>
    <row r="22" spans="1:24" s="115" customFormat="1" ht="14.25" customHeight="1" x14ac:dyDescent="0.2">
      <c r="A22" s="210" t="s">
        <v>65</v>
      </c>
      <c r="B22" s="133" t="s">
        <v>97</v>
      </c>
      <c r="C22" s="120" t="s">
        <v>19</v>
      </c>
      <c r="D22" s="130" t="s">
        <v>23</v>
      </c>
      <c r="E22" s="120">
        <v>2005</v>
      </c>
      <c r="F22" s="121">
        <v>7500</v>
      </c>
      <c r="G22" s="121">
        <v>37500</v>
      </c>
      <c r="H22" s="120" t="s">
        <v>14</v>
      </c>
      <c r="I22" s="120" t="s">
        <v>22</v>
      </c>
      <c r="J22" s="171">
        <v>42140</v>
      </c>
      <c r="K22" s="171">
        <v>42506</v>
      </c>
      <c r="L22" s="125">
        <v>382000</v>
      </c>
      <c r="M22" s="126" t="s">
        <v>15</v>
      </c>
      <c r="N22" s="125"/>
      <c r="O22" s="166">
        <v>90</v>
      </c>
      <c r="P22" s="116">
        <v>31</v>
      </c>
      <c r="Q22" s="114">
        <v>0</v>
      </c>
      <c r="R22" s="170">
        <v>0</v>
      </c>
      <c r="S22" s="114"/>
      <c r="T22" s="166">
        <v>0</v>
      </c>
      <c r="U22" s="114">
        <v>0</v>
      </c>
      <c r="V22" s="114">
        <v>0</v>
      </c>
      <c r="W22" s="170">
        <v>0</v>
      </c>
      <c r="X22" s="144"/>
    </row>
    <row r="23" spans="1:24" s="115" customFormat="1" ht="14.25" customHeight="1" x14ac:dyDescent="0.2">
      <c r="A23" s="210"/>
      <c r="B23" s="133" t="s">
        <v>97</v>
      </c>
      <c r="C23" s="120"/>
      <c r="D23" s="130"/>
      <c r="E23" s="120"/>
      <c r="F23" s="121"/>
      <c r="G23" s="121"/>
      <c r="H23" s="120" t="s">
        <v>14</v>
      </c>
      <c r="I23" s="120" t="s">
        <v>22</v>
      </c>
      <c r="J23" s="171">
        <f>K22</f>
        <v>42506</v>
      </c>
      <c r="K23" s="171">
        <v>42886</v>
      </c>
      <c r="L23" s="205">
        <v>386000</v>
      </c>
      <c r="M23" s="126">
        <f>L22</f>
        <v>382000</v>
      </c>
      <c r="N23" s="125"/>
      <c r="O23" s="166"/>
      <c r="P23" s="116"/>
      <c r="Q23" s="114"/>
      <c r="R23" s="170"/>
      <c r="S23" s="114"/>
      <c r="T23" s="166"/>
      <c r="U23" s="114"/>
      <c r="V23" s="114"/>
      <c r="W23" s="170"/>
      <c r="X23" s="144"/>
    </row>
    <row r="24" spans="1:24" s="115" customFormat="1" ht="14.25" customHeight="1" x14ac:dyDescent="0.2">
      <c r="A24" s="311" t="s">
        <v>66</v>
      </c>
      <c r="B24" s="312">
        <v>-8</v>
      </c>
      <c r="C24" s="232" t="s">
        <v>19</v>
      </c>
      <c r="D24" s="233" t="s">
        <v>23</v>
      </c>
      <c r="E24" s="232">
        <v>2005</v>
      </c>
      <c r="F24" s="234">
        <v>7500</v>
      </c>
      <c r="G24" s="234">
        <v>37500</v>
      </c>
      <c r="H24" s="232" t="s">
        <v>88</v>
      </c>
      <c r="I24" s="232" t="s">
        <v>89</v>
      </c>
      <c r="J24" s="280">
        <v>41913</v>
      </c>
      <c r="K24" s="314">
        <v>42125</v>
      </c>
      <c r="L24" s="236">
        <v>355000</v>
      </c>
      <c r="M24" s="256">
        <v>606000</v>
      </c>
      <c r="N24" s="125"/>
      <c r="O24" s="238">
        <v>0</v>
      </c>
      <c r="P24" s="263">
        <v>0</v>
      </c>
      <c r="Q24" s="239">
        <v>0</v>
      </c>
      <c r="R24" s="240">
        <v>0</v>
      </c>
      <c r="S24" s="114"/>
      <c r="T24" s="238">
        <v>0</v>
      </c>
      <c r="U24" s="239">
        <v>0</v>
      </c>
      <c r="V24" s="239">
        <v>0</v>
      </c>
      <c r="W24" s="240">
        <v>0</v>
      </c>
      <c r="X24" s="144"/>
    </row>
    <row r="25" spans="1:24" s="115" customFormat="1" ht="14.25" customHeight="1" x14ac:dyDescent="0.2">
      <c r="A25" s="311"/>
      <c r="B25" s="313">
        <v>-8</v>
      </c>
      <c r="C25" s="232"/>
      <c r="D25" s="233"/>
      <c r="E25" s="232"/>
      <c r="F25" s="234"/>
      <c r="G25" s="234"/>
      <c r="H25" s="307" t="s">
        <v>88</v>
      </c>
      <c r="I25" s="307" t="s">
        <v>89</v>
      </c>
      <c r="J25" s="314">
        <v>42125</v>
      </c>
      <c r="K25" s="314">
        <v>42370</v>
      </c>
      <c r="L25" s="308">
        <v>315000</v>
      </c>
      <c r="M25" s="256">
        <v>355000</v>
      </c>
      <c r="N25" s="125"/>
      <c r="O25" s="238"/>
      <c r="P25" s="263"/>
      <c r="Q25" s="239"/>
      <c r="R25" s="240"/>
      <c r="S25" s="114"/>
      <c r="T25" s="238"/>
      <c r="U25" s="239"/>
      <c r="V25" s="239"/>
      <c r="W25" s="240"/>
      <c r="X25" s="144"/>
    </row>
    <row r="26" spans="1:24" s="115" customFormat="1" ht="14.25" customHeight="1" x14ac:dyDescent="0.2">
      <c r="A26" s="212" t="s">
        <v>67</v>
      </c>
      <c r="B26" s="182" t="s">
        <v>43</v>
      </c>
      <c r="C26" s="176" t="s">
        <v>19</v>
      </c>
      <c r="D26" s="200" t="s">
        <v>23</v>
      </c>
      <c r="E26" s="176">
        <v>2001</v>
      </c>
      <c r="F26" s="74">
        <v>7500</v>
      </c>
      <c r="G26" s="74">
        <v>35000</v>
      </c>
      <c r="H26" s="176" t="s">
        <v>13</v>
      </c>
      <c r="I26" s="176" t="s">
        <v>96</v>
      </c>
      <c r="J26" s="183">
        <v>42000</v>
      </c>
      <c r="K26" s="204">
        <v>42144</v>
      </c>
      <c r="L26" s="177">
        <v>300000</v>
      </c>
      <c r="M26" s="178" t="s">
        <v>15</v>
      </c>
      <c r="N26" s="125"/>
      <c r="O26" s="167">
        <v>0</v>
      </c>
      <c r="P26" s="124">
        <v>0</v>
      </c>
      <c r="Q26" s="124">
        <v>0</v>
      </c>
      <c r="R26" s="131">
        <v>0</v>
      </c>
      <c r="S26" s="114"/>
      <c r="T26" s="167">
        <v>0</v>
      </c>
      <c r="U26" s="124">
        <v>0</v>
      </c>
      <c r="V26" s="124">
        <v>0</v>
      </c>
      <c r="W26" s="131">
        <v>0</v>
      </c>
      <c r="X26" s="144"/>
    </row>
    <row r="27" spans="1:24" s="115" customFormat="1" ht="6" customHeight="1" x14ac:dyDescent="0.2">
      <c r="A27" s="264"/>
      <c r="B27" s="265"/>
      <c r="C27" s="120"/>
      <c r="D27" s="68"/>
      <c r="E27" s="120"/>
      <c r="F27" s="121"/>
      <c r="G27" s="121"/>
      <c r="H27" s="69"/>
      <c r="I27" s="69"/>
      <c r="J27" s="69"/>
      <c r="K27" s="69"/>
      <c r="L27" s="119"/>
      <c r="M27" s="119"/>
      <c r="N27" s="119"/>
      <c r="O27" s="124"/>
      <c r="P27" s="114"/>
      <c r="Q27" s="114"/>
      <c r="R27" s="114"/>
      <c r="S27" s="114"/>
      <c r="T27" s="124"/>
      <c r="U27" s="114"/>
      <c r="V27" s="114"/>
      <c r="W27" s="114"/>
      <c r="X27" s="144"/>
    </row>
    <row r="28" spans="1:24" ht="15" x14ac:dyDescent="0.2">
      <c r="A28" s="134" t="s">
        <v>114</v>
      </c>
      <c r="B28" s="140"/>
      <c r="C28" s="136"/>
      <c r="D28" s="137"/>
      <c r="E28" s="138"/>
      <c r="F28" s="137"/>
      <c r="G28" s="137"/>
      <c r="H28" s="137"/>
      <c r="I28" s="137"/>
      <c r="J28" s="156"/>
      <c r="K28" s="156"/>
      <c r="L28" s="159"/>
      <c r="M28" s="160"/>
      <c r="N28" s="152"/>
      <c r="O28" s="139"/>
      <c r="P28" s="127"/>
      <c r="Q28" s="127"/>
      <c r="R28" s="189"/>
      <c r="S28" s="155"/>
      <c r="T28" s="139"/>
      <c r="U28" s="127"/>
      <c r="V28" s="127"/>
      <c r="W28" s="128"/>
      <c r="X28" s="184"/>
    </row>
    <row r="29" spans="1:24" s="115" customFormat="1" ht="6" customHeight="1" x14ac:dyDescent="0.2">
      <c r="A29" s="191"/>
      <c r="B29" s="192"/>
      <c r="C29" s="193"/>
      <c r="D29" s="193"/>
      <c r="E29" s="194"/>
      <c r="F29" s="195"/>
      <c r="G29" s="195"/>
      <c r="H29" s="196"/>
      <c r="I29" s="197"/>
      <c r="J29" s="197"/>
      <c r="K29" s="197"/>
      <c r="L29" s="198"/>
      <c r="M29" s="199"/>
      <c r="N29" s="70"/>
      <c r="O29" s="99"/>
      <c r="P29" s="100"/>
      <c r="Q29" s="100"/>
      <c r="R29" s="101"/>
      <c r="S29" s="123"/>
      <c r="T29" s="99"/>
      <c r="U29" s="100"/>
      <c r="V29" s="100"/>
      <c r="W29" s="101"/>
      <c r="X29" s="144"/>
    </row>
    <row r="30" spans="1:24" s="115" customFormat="1" x14ac:dyDescent="0.2">
      <c r="A30" s="257" t="s">
        <v>68</v>
      </c>
      <c r="B30" s="260"/>
      <c r="C30" s="232" t="s">
        <v>19</v>
      </c>
      <c r="D30" s="233"/>
      <c r="E30" s="232" t="s">
        <v>79</v>
      </c>
      <c r="F30" s="234">
        <v>7000</v>
      </c>
      <c r="G30" s="234">
        <v>30000</v>
      </c>
      <c r="H30" s="232"/>
      <c r="I30" s="232"/>
      <c r="J30" s="254"/>
      <c r="K30" s="259" t="s">
        <v>81</v>
      </c>
      <c r="L30" s="236"/>
      <c r="M30" s="256"/>
      <c r="N30" s="125"/>
      <c r="O30" s="238">
        <v>0</v>
      </c>
      <c r="P30" s="239">
        <v>0</v>
      </c>
      <c r="Q30" s="239">
        <v>0</v>
      </c>
      <c r="R30" s="240">
        <v>0</v>
      </c>
      <c r="S30" s="114"/>
      <c r="T30" s="238">
        <v>0</v>
      </c>
      <c r="U30" s="239">
        <v>0</v>
      </c>
      <c r="V30" s="239">
        <v>0</v>
      </c>
      <c r="W30" s="240">
        <v>0</v>
      </c>
      <c r="X30" s="144"/>
    </row>
    <row r="31" spans="1:24" s="115" customFormat="1" ht="14.25" customHeight="1" x14ac:dyDescent="0.2">
      <c r="A31" s="213" t="s">
        <v>69</v>
      </c>
      <c r="B31" s="151" t="s">
        <v>63</v>
      </c>
      <c r="C31" s="120" t="s">
        <v>19</v>
      </c>
      <c r="D31" s="130" t="s">
        <v>23</v>
      </c>
      <c r="E31" s="120" t="s">
        <v>3</v>
      </c>
      <c r="F31" s="121">
        <v>6500</v>
      </c>
      <c r="G31" s="121">
        <v>25000</v>
      </c>
      <c r="H31" s="120" t="s">
        <v>11</v>
      </c>
      <c r="I31" s="120" t="s">
        <v>12</v>
      </c>
      <c r="J31" s="171">
        <v>41760</v>
      </c>
      <c r="K31" s="171">
        <v>42614</v>
      </c>
      <c r="L31" s="205">
        <v>282000</v>
      </c>
      <c r="M31" s="126">
        <v>361000</v>
      </c>
      <c r="N31" s="125"/>
      <c r="O31" s="166">
        <v>0</v>
      </c>
      <c r="P31" s="116">
        <v>21</v>
      </c>
      <c r="Q31" s="116">
        <v>39</v>
      </c>
      <c r="R31" s="170">
        <v>0</v>
      </c>
      <c r="S31" s="114"/>
      <c r="T31" s="166">
        <v>0</v>
      </c>
      <c r="U31" s="114">
        <v>0</v>
      </c>
      <c r="V31" s="114">
        <v>0</v>
      </c>
      <c r="W31" s="170">
        <v>0</v>
      </c>
      <c r="X31" s="144"/>
    </row>
    <row r="32" spans="1:24" ht="14.25" customHeight="1" x14ac:dyDescent="0.2">
      <c r="A32" s="257" t="s">
        <v>35</v>
      </c>
      <c r="B32" s="258"/>
      <c r="C32" s="232" t="s">
        <v>19</v>
      </c>
      <c r="D32" s="232"/>
      <c r="E32" s="232" t="s">
        <v>29</v>
      </c>
      <c r="F32" s="234">
        <v>5750</v>
      </c>
      <c r="G32" s="234">
        <v>25000</v>
      </c>
      <c r="H32" s="232"/>
      <c r="I32" s="232"/>
      <c r="J32" s="254"/>
      <c r="K32" s="259" t="s">
        <v>101</v>
      </c>
      <c r="L32" s="255"/>
      <c r="M32" s="256"/>
      <c r="N32" s="132"/>
      <c r="O32" s="261">
        <v>0</v>
      </c>
      <c r="P32" s="54">
        <v>0</v>
      </c>
      <c r="Q32" s="54">
        <v>0</v>
      </c>
      <c r="R32" s="262">
        <v>0</v>
      </c>
      <c r="S32" s="123"/>
      <c r="T32" s="261">
        <v>0</v>
      </c>
      <c r="U32" s="54">
        <v>0</v>
      </c>
      <c r="V32" s="54">
        <v>0</v>
      </c>
      <c r="W32" s="262">
        <v>0</v>
      </c>
      <c r="X32" s="184"/>
    </row>
    <row r="33" spans="1:24" s="115" customFormat="1" ht="14.25" customHeight="1" x14ac:dyDescent="0.2">
      <c r="A33" s="217" t="s">
        <v>70</v>
      </c>
      <c r="B33" s="310" t="s">
        <v>108</v>
      </c>
      <c r="C33" s="176" t="s">
        <v>19</v>
      </c>
      <c r="D33" s="176"/>
      <c r="E33" s="176" t="s">
        <v>16</v>
      </c>
      <c r="F33" s="74">
        <v>5000</v>
      </c>
      <c r="G33" s="74">
        <v>25000</v>
      </c>
      <c r="H33" s="176"/>
      <c r="I33" s="176"/>
      <c r="J33" s="183"/>
      <c r="K33" s="204" t="s">
        <v>81</v>
      </c>
      <c r="L33" s="218"/>
      <c r="M33" s="178"/>
      <c r="N33" s="132"/>
      <c r="O33" s="90">
        <v>0</v>
      </c>
      <c r="P33" s="38">
        <v>0</v>
      </c>
      <c r="Q33" s="38">
        <v>0</v>
      </c>
      <c r="R33" s="94">
        <v>0</v>
      </c>
      <c r="S33" s="123"/>
      <c r="T33" s="90">
        <v>0</v>
      </c>
      <c r="U33" s="38">
        <v>0</v>
      </c>
      <c r="V33" s="38">
        <v>0</v>
      </c>
      <c r="W33" s="94">
        <v>0</v>
      </c>
      <c r="X33" s="144"/>
    </row>
    <row r="34" spans="1:24" ht="6" customHeight="1" x14ac:dyDescent="0.2">
      <c r="A34" s="71"/>
      <c r="B34" s="266"/>
      <c r="C34" s="115"/>
      <c r="D34" s="115"/>
      <c r="E34" s="115"/>
      <c r="F34" s="115"/>
      <c r="G34" s="115"/>
      <c r="H34" s="115"/>
      <c r="I34" s="115"/>
      <c r="J34" s="169"/>
      <c r="K34" s="169"/>
      <c r="L34" s="148"/>
      <c r="M34" s="148"/>
      <c r="O34" s="219"/>
      <c r="P34" s="113"/>
      <c r="Q34" s="113"/>
      <c r="R34" s="219"/>
      <c r="S34" s="113"/>
      <c r="T34" s="219"/>
      <c r="U34" s="113"/>
      <c r="V34" s="113"/>
      <c r="W34" s="113"/>
      <c r="X34" s="144"/>
    </row>
    <row r="35" spans="1:24" s="115" customFormat="1" ht="14.25" customHeight="1" x14ac:dyDescent="0.2">
      <c r="A35" s="134" t="s">
        <v>103</v>
      </c>
      <c r="B35" s="140"/>
      <c r="C35" s="136"/>
      <c r="D35" s="137"/>
      <c r="E35" s="138"/>
      <c r="F35" s="137"/>
      <c r="G35" s="137"/>
      <c r="H35" s="137"/>
      <c r="I35" s="137"/>
      <c r="J35" s="156"/>
      <c r="K35" s="156"/>
      <c r="L35" s="159"/>
      <c r="M35" s="160"/>
      <c r="N35" s="152"/>
      <c r="O35" s="139"/>
      <c r="P35" s="127"/>
      <c r="Q35" s="127"/>
      <c r="R35" s="189"/>
      <c r="S35" s="155"/>
      <c r="T35" s="139"/>
      <c r="U35" s="127"/>
      <c r="V35" s="127"/>
      <c r="W35" s="128"/>
      <c r="X35" s="144"/>
    </row>
    <row r="36" spans="1:24" s="115" customFormat="1" ht="6" customHeight="1" x14ac:dyDescent="0.2">
      <c r="A36" s="191"/>
      <c r="B36" s="192"/>
      <c r="C36" s="193"/>
      <c r="D36" s="193"/>
      <c r="E36" s="194"/>
      <c r="F36" s="195"/>
      <c r="G36" s="195"/>
      <c r="H36" s="196"/>
      <c r="I36" s="197"/>
      <c r="J36" s="197"/>
      <c r="K36" s="197"/>
      <c r="L36" s="198"/>
      <c r="M36" s="199"/>
      <c r="N36" s="70"/>
      <c r="O36" s="99"/>
      <c r="P36" s="100"/>
      <c r="Q36" s="100"/>
      <c r="R36" s="101"/>
      <c r="S36" s="123"/>
      <c r="T36" s="99"/>
      <c r="U36" s="100"/>
      <c r="V36" s="100"/>
      <c r="W36" s="101"/>
      <c r="X36" s="144"/>
    </row>
    <row r="37" spans="1:24" s="115" customFormat="1" x14ac:dyDescent="0.2">
      <c r="A37" s="276" t="s">
        <v>104</v>
      </c>
      <c r="B37" s="277" t="s">
        <v>105</v>
      </c>
      <c r="C37" s="278" t="s">
        <v>19</v>
      </c>
      <c r="D37" s="278"/>
      <c r="E37" s="278">
        <v>1983</v>
      </c>
      <c r="F37" s="279">
        <v>2800</v>
      </c>
      <c r="G37" s="279">
        <v>25000</v>
      </c>
      <c r="H37" s="278" t="s">
        <v>106</v>
      </c>
      <c r="I37" s="278" t="s">
        <v>107</v>
      </c>
      <c r="J37" s="280">
        <v>40969</v>
      </c>
      <c r="K37" s="280">
        <v>42139</v>
      </c>
      <c r="L37" s="304">
        <v>260000</v>
      </c>
      <c r="M37" s="281" t="s">
        <v>15</v>
      </c>
      <c r="N37" s="70"/>
      <c r="O37" s="301">
        <v>0</v>
      </c>
      <c r="P37" s="302">
        <v>0</v>
      </c>
      <c r="Q37" s="302">
        <v>0</v>
      </c>
      <c r="R37" s="303">
        <v>0</v>
      </c>
      <c r="S37" s="123"/>
      <c r="T37" s="301">
        <v>0</v>
      </c>
      <c r="U37" s="302">
        <v>0</v>
      </c>
      <c r="V37" s="302">
        <v>0</v>
      </c>
      <c r="W37" s="303">
        <v>0</v>
      </c>
      <c r="X37" s="144"/>
    </row>
    <row r="38" spans="1:24" s="115" customFormat="1" x14ac:dyDescent="0.2">
      <c r="A38" s="290"/>
      <c r="B38" s="291"/>
      <c r="C38" s="292"/>
      <c r="D38" s="292"/>
      <c r="E38" s="292"/>
      <c r="F38" s="294"/>
      <c r="G38" s="294"/>
      <c r="H38" s="305" t="s">
        <v>106</v>
      </c>
      <c r="I38" s="305" t="s">
        <v>107</v>
      </c>
      <c r="J38" s="295">
        <v>42140</v>
      </c>
      <c r="K38" s="295">
        <v>42262</v>
      </c>
      <c r="L38" s="297">
        <v>156000</v>
      </c>
      <c r="M38" s="296">
        <v>260000</v>
      </c>
      <c r="N38" s="125"/>
      <c r="O38" s="298"/>
      <c r="P38" s="299"/>
      <c r="Q38" s="299"/>
      <c r="R38" s="300"/>
      <c r="S38" s="114"/>
      <c r="T38" s="298"/>
      <c r="U38" s="299"/>
      <c r="V38" s="299"/>
      <c r="W38" s="300"/>
      <c r="X38" s="144"/>
    </row>
    <row r="39" spans="1:24" s="115" customFormat="1" ht="6" customHeight="1" x14ac:dyDescent="0.2">
      <c r="A39" s="268"/>
      <c r="B39" s="133"/>
      <c r="C39" s="269"/>
      <c r="D39" s="269"/>
      <c r="E39" s="270"/>
      <c r="F39" s="271"/>
      <c r="G39" s="271"/>
      <c r="H39" s="272"/>
      <c r="I39" s="171"/>
      <c r="J39" s="171"/>
      <c r="K39" s="171"/>
      <c r="L39" s="132"/>
      <c r="M39" s="273"/>
      <c r="N39" s="132"/>
      <c r="O39" s="274"/>
      <c r="P39" s="123"/>
      <c r="Q39" s="123"/>
      <c r="R39" s="275"/>
      <c r="S39" s="123"/>
      <c r="T39" s="274"/>
      <c r="U39" s="123"/>
      <c r="V39" s="123"/>
      <c r="W39" s="275"/>
      <c r="X39" s="144"/>
    </row>
    <row r="40" spans="1:24" ht="15" x14ac:dyDescent="0.2">
      <c r="A40" s="134" t="s">
        <v>33</v>
      </c>
      <c r="B40" s="140"/>
      <c r="C40" s="136"/>
      <c r="D40" s="137"/>
      <c r="E40" s="138"/>
      <c r="F40" s="137"/>
      <c r="G40" s="137"/>
      <c r="H40" s="137"/>
      <c r="I40" s="137"/>
      <c r="J40" s="156"/>
      <c r="K40" s="156"/>
      <c r="L40" s="159"/>
      <c r="M40" s="160"/>
      <c r="N40" s="152"/>
      <c r="O40" s="165"/>
      <c r="P40" s="150"/>
      <c r="Q40" s="150"/>
      <c r="R40" s="190"/>
      <c r="S40" s="154"/>
      <c r="T40" s="165"/>
      <c r="U40" s="150"/>
      <c r="V40" s="150"/>
      <c r="W40" s="149"/>
    </row>
    <row r="41" spans="1:24" ht="6" customHeight="1" x14ac:dyDescent="0.2">
      <c r="A41" s="225"/>
      <c r="B41" s="228"/>
      <c r="C41" s="226"/>
      <c r="D41" s="226"/>
      <c r="E41" s="226"/>
      <c r="F41" s="226"/>
      <c r="G41" s="226"/>
      <c r="H41" s="226"/>
      <c r="I41" s="226"/>
      <c r="J41" s="226"/>
      <c r="K41" s="227"/>
      <c r="L41" s="226"/>
      <c r="M41" s="228"/>
      <c r="O41" s="225"/>
      <c r="P41" s="226"/>
      <c r="Q41" s="226"/>
      <c r="R41" s="228"/>
      <c r="T41" s="225"/>
      <c r="U41" s="226"/>
      <c r="V41" s="226"/>
      <c r="W41" s="228"/>
    </row>
    <row r="42" spans="1:24" x14ac:dyDescent="0.2">
      <c r="A42" s="282" t="s">
        <v>90</v>
      </c>
      <c r="B42" s="182">
        <v>-7</v>
      </c>
      <c r="C42" s="283"/>
      <c r="D42" s="283"/>
      <c r="E42" s="284">
        <v>1986</v>
      </c>
      <c r="F42" s="285">
        <v>350</v>
      </c>
      <c r="G42" s="285">
        <v>30000</v>
      </c>
      <c r="H42" s="286" t="s">
        <v>10</v>
      </c>
      <c r="I42" s="183" t="s">
        <v>51</v>
      </c>
      <c r="J42" s="287">
        <v>41883</v>
      </c>
      <c r="K42" s="204">
        <v>42149</v>
      </c>
      <c r="L42" s="288">
        <v>165000</v>
      </c>
      <c r="M42" s="289">
        <v>163000</v>
      </c>
      <c r="N42" s="125"/>
      <c r="O42" s="167">
        <f>IFERROR(VLOOKUP($A42,'[1]2015'!$B$4:$R$54,14,0),0)</f>
        <v>0</v>
      </c>
      <c r="P42" s="124">
        <f>IFERROR(VLOOKUP($A42,'[1]2015'!$B$4:$R$54,15,0),0)</f>
        <v>0</v>
      </c>
      <c r="Q42" s="124">
        <f>IFERROR(VLOOKUP($A42,'[1]2015'!$B$4:$R$54,16,0),0)</f>
        <v>0</v>
      </c>
      <c r="R42" s="131">
        <f>IFERROR(VLOOKUP($A42,'[1]2015'!$B$4:$R$54,17,0),0)</f>
        <v>0</v>
      </c>
      <c r="S42" s="114"/>
      <c r="T42" s="167">
        <f>IFERROR(VLOOKUP($A42,'[1]2016'!$B$4:$R$56,14,0),0)</f>
        <v>0</v>
      </c>
      <c r="U42" s="124">
        <f>IFERROR(VLOOKUP($A42,'[1]2016'!$B$4:$R$56,15,0),0)</f>
        <v>0</v>
      </c>
      <c r="V42" s="124">
        <f>IFERROR(VLOOKUP($A42,'[1]2016'!$B$4:$R$56,16,0),0)</f>
        <v>0</v>
      </c>
      <c r="W42" s="131">
        <f>IFERROR(VLOOKUP($A42,'[1]2016'!$B$4:$R$56,17,0),0)</f>
        <v>0</v>
      </c>
      <c r="X42" s="184"/>
    </row>
    <row r="43" spans="1:24" x14ac:dyDescent="0.2">
      <c r="K43" s="122"/>
    </row>
    <row r="44" spans="1:24" x14ac:dyDescent="0.2">
      <c r="K44" s="122"/>
    </row>
    <row r="45" spans="1:24" x14ac:dyDescent="0.2">
      <c r="K45" s="122"/>
    </row>
    <row r="46" spans="1:24" ht="15" x14ac:dyDescent="0.2">
      <c r="A46" s="139" t="s">
        <v>78</v>
      </c>
      <c r="B46" s="267"/>
      <c r="C46" s="136"/>
      <c r="D46" s="141"/>
      <c r="E46" s="142"/>
      <c r="F46" s="141"/>
      <c r="G46" s="141"/>
      <c r="H46" s="143"/>
      <c r="I46" s="141"/>
      <c r="J46" s="158"/>
      <c r="K46" s="158"/>
      <c r="L46" s="163"/>
      <c r="M46" s="164"/>
    </row>
    <row r="47" spans="1:24" ht="7.5" customHeight="1" x14ac:dyDescent="0.2">
      <c r="A47" s="202"/>
      <c r="B47" s="82"/>
      <c r="C47" s="185"/>
      <c r="D47" s="130"/>
      <c r="E47" s="110"/>
      <c r="F47" s="121"/>
      <c r="G47" s="111"/>
      <c r="H47" s="120"/>
      <c r="I47" s="120"/>
      <c r="J47" s="171"/>
      <c r="K47" s="171"/>
      <c r="L47" s="125"/>
      <c r="M47" s="186"/>
    </row>
    <row r="48" spans="1:24" ht="15" x14ac:dyDescent="0.2">
      <c r="A48" s="134" t="s">
        <v>113</v>
      </c>
      <c r="B48" s="135"/>
      <c r="C48" s="136"/>
      <c r="D48" s="137"/>
      <c r="E48" s="138"/>
      <c r="F48" s="137"/>
      <c r="G48" s="137"/>
      <c r="H48" s="137"/>
      <c r="I48" s="137"/>
      <c r="J48" s="156"/>
      <c r="K48" s="156"/>
      <c r="L48" s="159"/>
      <c r="M48" s="164"/>
    </row>
    <row r="49" spans="1:13" ht="6" customHeight="1" x14ac:dyDescent="0.2">
      <c r="A49" s="202"/>
      <c r="B49" s="129"/>
      <c r="C49" s="185"/>
      <c r="D49" s="187"/>
      <c r="E49" s="185"/>
      <c r="F49" s="188"/>
      <c r="G49" s="220"/>
      <c r="H49" s="75"/>
      <c r="I49" s="75"/>
      <c r="J49" s="201"/>
      <c r="K49" s="201"/>
      <c r="L49" s="203"/>
      <c r="M49" s="186"/>
    </row>
    <row r="50" spans="1:13" x14ac:dyDescent="0.2">
      <c r="A50" s="290" t="s">
        <v>66</v>
      </c>
      <c r="B50" s="291">
        <v>-6</v>
      </c>
      <c r="C50" s="292" t="s">
        <v>19</v>
      </c>
      <c r="D50" s="293" t="s">
        <v>23</v>
      </c>
      <c r="E50" s="292">
        <v>2005</v>
      </c>
      <c r="F50" s="294">
        <v>7500</v>
      </c>
      <c r="G50" s="294">
        <v>37500</v>
      </c>
      <c r="H50" s="292" t="s">
        <v>88</v>
      </c>
      <c r="I50" s="292" t="s">
        <v>89</v>
      </c>
      <c r="J50" s="295">
        <v>42399</v>
      </c>
      <c r="K50" s="295">
        <v>42670</v>
      </c>
      <c r="L50" s="297">
        <v>315000</v>
      </c>
      <c r="M50" s="309">
        <v>315000</v>
      </c>
    </row>
    <row r="51" spans="1:13" x14ac:dyDescent="0.2">
      <c r="K51" s="122"/>
    </row>
  </sheetData>
  <mergeCells count="6">
    <mergeCell ref="A3:M3"/>
    <mergeCell ref="A4:M4"/>
    <mergeCell ref="O5:R5"/>
    <mergeCell ref="T5:W5"/>
    <mergeCell ref="O7:R7"/>
    <mergeCell ref="T7:W7"/>
  </mergeCells>
  <printOptions horizontalCentered="1"/>
  <pageMargins left="0.25" right="0.25" top="0.75" bottom="0.75" header="0.3" footer="0.3"/>
  <pageSetup paperSize="3" scale="39" fitToHeight="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9"/>
  <sheetViews>
    <sheetView showGridLines="0" view="pageBreakPreview" topLeftCell="B1" zoomScaleNormal="100" zoomScaleSheetLayoutView="100" workbookViewId="0">
      <selection activeCell="B1" sqref="B1"/>
    </sheetView>
  </sheetViews>
  <sheetFormatPr defaultRowHeight="14.25" x14ac:dyDescent="0.2"/>
  <cols>
    <col min="1" max="1" width="1"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4"/>
      <c r="M1" s="7"/>
      <c r="O1" s="25"/>
    </row>
    <row r="2" spans="1:15" s="6" customFormat="1" ht="13.5" customHeight="1" x14ac:dyDescent="0.2">
      <c r="B2" s="30" t="str">
        <f>Report!A2</f>
        <v>Updated: May 18,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27" t="s">
        <v>30</v>
      </c>
      <c r="C5" s="327"/>
      <c r="D5" s="14"/>
      <c r="E5" s="15"/>
      <c r="F5" s="16"/>
      <c r="G5" s="12"/>
      <c r="H5" s="12"/>
      <c r="I5" s="13"/>
      <c r="J5" s="17"/>
      <c r="K5" s="18"/>
      <c r="L5" s="18"/>
      <c r="M5" s="19"/>
      <c r="N5" s="20"/>
    </row>
    <row r="6" spans="1:15" x14ac:dyDescent="0.2">
      <c r="A6" s="21"/>
      <c r="C6" s="2"/>
      <c r="D6" s="1"/>
      <c r="E6" s="2"/>
      <c r="F6" s="1"/>
      <c r="G6" s="3"/>
      <c r="H6" s="3"/>
      <c r="I6" s="2"/>
      <c r="J6" s="2"/>
      <c r="K6" s="2"/>
      <c r="L6" s="2"/>
      <c r="M6" s="11"/>
      <c r="N6" s="2"/>
    </row>
    <row r="7" spans="1:15" s="32" customFormat="1" x14ac:dyDescent="0.2">
      <c r="A7" s="29"/>
      <c r="B7" s="80" t="s">
        <v>38</v>
      </c>
      <c r="C7" s="328" t="s">
        <v>37</v>
      </c>
      <c r="D7" s="329"/>
      <c r="E7" s="329"/>
      <c r="F7" s="329"/>
      <c r="G7" s="329"/>
      <c r="H7" s="329"/>
      <c r="I7" s="329"/>
      <c r="J7" s="329"/>
      <c r="K7" s="329"/>
      <c r="L7" s="329"/>
      <c r="M7" s="329"/>
      <c r="N7" s="329"/>
      <c r="O7" s="26"/>
    </row>
    <row r="8" spans="1:15" s="32" customFormat="1" ht="62.25" customHeight="1" x14ac:dyDescent="0.2">
      <c r="A8" s="29"/>
      <c r="B8" s="80" t="s">
        <v>39</v>
      </c>
      <c r="C8" s="328" t="s">
        <v>99</v>
      </c>
      <c r="D8" s="330"/>
      <c r="E8" s="330"/>
      <c r="F8" s="330"/>
      <c r="G8" s="330"/>
      <c r="H8" s="330"/>
      <c r="I8" s="330"/>
      <c r="J8" s="330"/>
      <c r="K8" s="330"/>
      <c r="L8" s="330"/>
      <c r="M8" s="330"/>
      <c r="N8" s="330"/>
      <c r="O8" s="26"/>
    </row>
    <row r="9" spans="1:15" s="32" customFormat="1" ht="51" customHeight="1" x14ac:dyDescent="0.2">
      <c r="A9" s="29"/>
      <c r="B9" s="80" t="s">
        <v>40</v>
      </c>
      <c r="C9" s="328" t="s">
        <v>100</v>
      </c>
      <c r="D9" s="329"/>
      <c r="E9" s="329"/>
      <c r="F9" s="329"/>
      <c r="G9" s="329"/>
      <c r="H9" s="329"/>
      <c r="I9" s="329"/>
      <c r="J9" s="329"/>
      <c r="K9" s="329"/>
      <c r="L9" s="329"/>
      <c r="M9" s="329"/>
      <c r="N9" s="329"/>
      <c r="O9" s="26"/>
    </row>
    <row r="10" spans="1:15" s="32" customFormat="1" ht="27" customHeight="1" x14ac:dyDescent="0.2">
      <c r="A10" s="29"/>
      <c r="B10" s="80" t="s">
        <v>41</v>
      </c>
      <c r="C10" s="328" t="s">
        <v>52</v>
      </c>
      <c r="D10" s="329"/>
      <c r="E10" s="329"/>
      <c r="F10" s="329"/>
      <c r="G10" s="329"/>
      <c r="H10" s="329"/>
      <c r="I10" s="329"/>
      <c r="J10" s="329"/>
      <c r="K10" s="329"/>
      <c r="L10" s="329"/>
      <c r="M10" s="329"/>
      <c r="N10" s="329"/>
      <c r="O10" s="26"/>
    </row>
    <row r="11" spans="1:15" s="32" customFormat="1" x14ac:dyDescent="0.2">
      <c r="A11" s="29"/>
      <c r="B11" s="80" t="s">
        <v>42</v>
      </c>
      <c r="C11" s="328" t="s">
        <v>49</v>
      </c>
      <c r="D11" s="329"/>
      <c r="E11" s="329"/>
      <c r="F11" s="329"/>
      <c r="G11" s="329"/>
      <c r="H11" s="329"/>
      <c r="I11" s="329"/>
      <c r="J11" s="329"/>
      <c r="K11" s="329"/>
      <c r="L11" s="329"/>
      <c r="M11" s="329"/>
      <c r="N11" s="329"/>
      <c r="O11" s="26"/>
    </row>
    <row r="12" spans="1:15" s="21" customFormat="1" ht="14.25" customHeight="1" x14ac:dyDescent="0.2">
      <c r="A12" s="29"/>
      <c r="B12" s="80" t="s">
        <v>43</v>
      </c>
      <c r="C12" s="328" t="s">
        <v>50</v>
      </c>
      <c r="D12" s="329"/>
      <c r="E12" s="329"/>
      <c r="F12" s="329"/>
      <c r="G12" s="329"/>
      <c r="H12" s="329"/>
      <c r="I12" s="329"/>
      <c r="J12" s="329"/>
      <c r="K12" s="329"/>
      <c r="L12" s="329"/>
      <c r="M12" s="329"/>
      <c r="N12" s="329"/>
      <c r="O12" s="26"/>
    </row>
    <row r="13" spans="1:15" s="32" customFormat="1" ht="27" customHeight="1" x14ac:dyDescent="0.2">
      <c r="A13" s="29"/>
      <c r="B13" s="80" t="s">
        <v>44</v>
      </c>
      <c r="C13" s="328" t="s">
        <v>98</v>
      </c>
      <c r="D13" s="329"/>
      <c r="E13" s="329"/>
      <c r="F13" s="329"/>
      <c r="G13" s="329"/>
      <c r="H13" s="329"/>
      <c r="I13" s="329"/>
      <c r="J13" s="329"/>
      <c r="K13" s="329"/>
      <c r="L13" s="329"/>
      <c r="M13" s="329"/>
      <c r="N13" s="329"/>
      <c r="O13" s="26"/>
    </row>
    <row r="14" spans="1:15" s="32" customFormat="1" ht="15" customHeight="1" x14ac:dyDescent="0.2">
      <c r="A14" s="29"/>
      <c r="B14" s="80" t="s">
        <v>45</v>
      </c>
      <c r="C14" s="328" t="s">
        <v>0</v>
      </c>
      <c r="D14" s="329"/>
      <c r="E14" s="329"/>
      <c r="F14" s="329"/>
      <c r="G14" s="329"/>
      <c r="H14" s="329"/>
      <c r="I14" s="329"/>
      <c r="J14" s="329"/>
      <c r="K14" s="329"/>
      <c r="L14" s="329"/>
      <c r="M14" s="329"/>
      <c r="N14" s="329"/>
      <c r="O14" s="26"/>
    </row>
    <row r="15" spans="1:15" s="32" customFormat="1" ht="30" customHeight="1" x14ac:dyDescent="0.2">
      <c r="A15" s="29"/>
      <c r="B15" s="80" t="s">
        <v>46</v>
      </c>
      <c r="C15" s="332" t="s">
        <v>87</v>
      </c>
      <c r="D15" s="332"/>
      <c r="E15" s="332"/>
      <c r="F15" s="332"/>
      <c r="G15" s="332"/>
      <c r="H15" s="332"/>
      <c r="I15" s="332"/>
      <c r="J15" s="332"/>
      <c r="K15" s="332"/>
      <c r="L15" s="332"/>
      <c r="M15" s="332"/>
      <c r="N15" s="332"/>
      <c r="O15" s="26"/>
    </row>
    <row r="16" spans="1:15" s="32" customFormat="1" ht="29.1" customHeight="1" x14ac:dyDescent="0.2">
      <c r="A16" s="29"/>
      <c r="B16" s="80" t="s">
        <v>47</v>
      </c>
      <c r="C16" s="328" t="s">
        <v>1</v>
      </c>
      <c r="D16" s="329"/>
      <c r="E16" s="329"/>
      <c r="F16" s="329"/>
      <c r="G16" s="329"/>
      <c r="H16" s="329"/>
      <c r="I16" s="329"/>
      <c r="J16" s="329"/>
      <c r="K16" s="329"/>
      <c r="L16" s="329"/>
      <c r="M16" s="329"/>
      <c r="N16" s="329"/>
      <c r="O16" s="26"/>
    </row>
    <row r="17" spans="1:19" s="32" customFormat="1" x14ac:dyDescent="0.2">
      <c r="A17" s="29"/>
      <c r="B17" s="315" t="s">
        <v>48</v>
      </c>
      <c r="C17" s="331" t="s">
        <v>111</v>
      </c>
      <c r="D17" s="331"/>
      <c r="E17" s="331"/>
      <c r="F17" s="331"/>
      <c r="G17" s="331"/>
      <c r="H17" s="331"/>
      <c r="I17" s="331"/>
      <c r="J17" s="331"/>
      <c r="K17" s="331"/>
      <c r="L17" s="331"/>
      <c r="M17" s="331"/>
      <c r="N17" s="331"/>
      <c r="O17" s="93"/>
    </row>
    <row r="18" spans="1:19" ht="25.5" customHeight="1" x14ac:dyDescent="0.2">
      <c r="B18" s="306" t="s">
        <v>2</v>
      </c>
      <c r="C18" s="326" t="s">
        <v>102</v>
      </c>
      <c r="D18" s="326"/>
      <c r="E18" s="326"/>
      <c r="F18" s="326"/>
      <c r="G18" s="326"/>
      <c r="H18" s="326"/>
      <c r="I18" s="326"/>
      <c r="J18" s="326"/>
      <c r="K18" s="326"/>
      <c r="L18" s="326"/>
      <c r="M18" s="326"/>
      <c r="N18" s="326"/>
      <c r="O18"/>
      <c r="S18" s="24"/>
    </row>
    <row r="19" spans="1:19" ht="13.5" customHeight="1" x14ac:dyDescent="0.2">
      <c r="B19" s="315" t="s">
        <v>108</v>
      </c>
      <c r="C19" s="325" t="s">
        <v>112</v>
      </c>
      <c r="D19" s="325"/>
      <c r="E19" s="325"/>
      <c r="F19" s="325"/>
      <c r="G19" s="325"/>
      <c r="H19" s="325"/>
      <c r="I19" s="325"/>
      <c r="J19" s="325"/>
      <c r="K19" s="325"/>
      <c r="L19" s="325"/>
      <c r="M19" s="325"/>
      <c r="N19" s="325"/>
      <c r="O19"/>
      <c r="S19" s="24"/>
    </row>
    <row r="20" spans="1:19" ht="12.75" x14ac:dyDescent="0.2">
      <c r="B20"/>
      <c r="O20"/>
      <c r="S20" s="24"/>
    </row>
    <row r="21" spans="1:19" ht="12.75" x14ac:dyDescent="0.2">
      <c r="B21"/>
      <c r="O21"/>
      <c r="S21" s="24"/>
    </row>
    <row r="22" spans="1:19" ht="12.75" x14ac:dyDescent="0.2">
      <c r="B22"/>
      <c r="O22"/>
      <c r="S22" s="24"/>
    </row>
    <row r="23" spans="1:19" ht="12.75" x14ac:dyDescent="0.2">
      <c r="B23"/>
      <c r="O23"/>
      <c r="S23" s="24"/>
    </row>
    <row r="24" spans="1:19" ht="12.75" x14ac:dyDescent="0.2">
      <c r="B24"/>
      <c r="O24"/>
      <c r="S24" s="24"/>
    </row>
    <row r="25" spans="1:19" ht="12.75" x14ac:dyDescent="0.2">
      <c r="B25"/>
      <c r="O25"/>
      <c r="S25" s="24"/>
    </row>
    <row r="26" spans="1:19" ht="12.75" x14ac:dyDescent="0.2">
      <c r="B26"/>
      <c r="O26"/>
      <c r="S26" s="24"/>
    </row>
    <row r="27" spans="1:19" ht="12.75" x14ac:dyDescent="0.2">
      <c r="B27"/>
      <c r="O27"/>
      <c r="S27" s="24"/>
    </row>
    <row r="28" spans="1:19" ht="12.75" x14ac:dyDescent="0.2">
      <c r="B28"/>
      <c r="O28"/>
      <c r="S28" s="24"/>
    </row>
    <row r="29" spans="1:19" ht="12.75" x14ac:dyDescent="0.2">
      <c r="B29"/>
      <c r="O29"/>
      <c r="S29" s="24"/>
    </row>
    <row r="30" spans="1:19" ht="12.75" x14ac:dyDescent="0.2">
      <c r="B30"/>
      <c r="O30"/>
      <c r="S30" s="24"/>
    </row>
    <row r="31" spans="1:19" ht="12.75" x14ac:dyDescent="0.2">
      <c r="B31"/>
      <c r="O31"/>
      <c r="S31" s="24"/>
    </row>
    <row r="32" spans="1: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4">
    <mergeCell ref="C19:N19"/>
    <mergeCell ref="C18:N18"/>
    <mergeCell ref="B5:C5"/>
    <mergeCell ref="C9:N9"/>
    <mergeCell ref="C7:N7"/>
    <mergeCell ref="C8:N8"/>
    <mergeCell ref="C10:N10"/>
    <mergeCell ref="C16:N16"/>
    <mergeCell ref="C17:N17"/>
    <mergeCell ref="C11:N11"/>
    <mergeCell ref="C12:N12"/>
    <mergeCell ref="C13:N13"/>
    <mergeCell ref="C14:N14"/>
    <mergeCell ref="C15:N15"/>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election activeCell="A2" sqref="A2"/>
    </sheetView>
  </sheetViews>
  <sheetFormatPr defaultRowHeight="15" x14ac:dyDescent="0.2"/>
  <cols>
    <col min="1" max="1" width="28.5703125" style="60" customWidth="1"/>
    <col min="2" max="3" width="2.28515625" style="60" customWidth="1"/>
    <col min="4" max="5" width="10.7109375" style="60" customWidth="1"/>
    <col min="6" max="6" width="8.7109375" style="60" customWidth="1"/>
    <col min="7" max="11" width="17.140625" style="60" customWidth="1"/>
    <col min="12" max="12" width="15.85546875" style="60" customWidth="1"/>
    <col min="13" max="16384" width="9.140625" style="60"/>
  </cols>
  <sheetData>
    <row r="1" spans="1:12" s="61" customFormat="1" ht="42.75" customHeight="1" x14ac:dyDescent="0.2">
      <c r="A1" s="60" t="s">
        <v>17</v>
      </c>
      <c r="B1" s="60"/>
      <c r="D1" s="62"/>
      <c r="E1" s="60"/>
      <c r="F1" s="60"/>
      <c r="G1" s="60"/>
      <c r="I1" s="63"/>
      <c r="J1" s="60"/>
      <c r="K1" s="60"/>
      <c r="L1" s="60"/>
    </row>
    <row r="2" spans="1:12" s="61" customFormat="1" ht="40.5" customHeight="1" x14ac:dyDescent="0.2">
      <c r="A2" s="60"/>
      <c r="B2" s="60"/>
      <c r="D2" s="62"/>
      <c r="E2" s="60"/>
      <c r="F2" s="60"/>
      <c r="G2" s="60"/>
      <c r="I2" s="63"/>
      <c r="J2" s="60"/>
      <c r="K2" s="60"/>
      <c r="L2" s="60"/>
    </row>
    <row r="3" spans="1:12" s="64" customFormat="1" ht="27.75" customHeight="1" x14ac:dyDescent="0.25">
      <c r="A3" s="333" t="s">
        <v>31</v>
      </c>
      <c r="B3" s="333"/>
      <c r="C3" s="333"/>
      <c r="D3" s="333"/>
      <c r="E3" s="333"/>
      <c r="F3" s="333"/>
      <c r="G3" s="333"/>
      <c r="H3" s="333"/>
      <c r="I3" s="333"/>
      <c r="J3" s="333"/>
      <c r="K3" s="333"/>
      <c r="L3" s="333"/>
    </row>
    <row r="4" spans="1:12" s="61" customFormat="1" x14ac:dyDescent="0.2">
      <c r="A4" s="60"/>
      <c r="B4" s="60"/>
      <c r="C4" s="65"/>
      <c r="D4" s="60"/>
      <c r="E4" s="60"/>
      <c r="F4" s="60"/>
      <c r="G4" s="60"/>
      <c r="H4" s="60"/>
      <c r="I4" s="60"/>
      <c r="J4" s="60"/>
      <c r="K4" s="60"/>
      <c r="L4" s="60"/>
    </row>
    <row r="5" spans="1:12" s="61" customFormat="1" x14ac:dyDescent="0.2">
      <c r="A5" s="66"/>
      <c r="B5" s="66"/>
      <c r="C5" s="66"/>
      <c r="D5" s="66"/>
      <c r="E5" s="66"/>
      <c r="F5" s="66"/>
      <c r="G5" s="66"/>
      <c r="H5" s="66"/>
      <c r="I5" s="66"/>
      <c r="J5" s="66"/>
      <c r="K5" s="66"/>
      <c r="L5" s="66"/>
    </row>
    <row r="6" spans="1:12" s="61" customFormat="1" x14ac:dyDescent="0.2">
      <c r="A6" s="60"/>
      <c r="B6" s="60"/>
      <c r="C6" s="60"/>
      <c r="D6" s="60"/>
      <c r="E6" s="60"/>
      <c r="F6" s="60"/>
      <c r="G6" s="60"/>
      <c r="H6" s="60"/>
      <c r="I6" s="60"/>
      <c r="J6" s="60"/>
      <c r="K6" s="60"/>
      <c r="L6" s="60"/>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Cover</vt:lpstr>
      <vt:lpstr>Report</vt:lpstr>
      <vt:lpstr>Footnotes</vt:lpstr>
      <vt:lpstr>Disclaimers&amp;Definitions </vt:lpstr>
      <vt:lpstr>Sheet1</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2015-05-18T15:21:44Z</cp:lastPrinted>
  <dcterms:created xsi:type="dcterms:W3CDTF">1999-09-27T19:46:10Z</dcterms:created>
  <dcterms:modified xsi:type="dcterms:W3CDTF">2015-05-18T20:26:27Z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